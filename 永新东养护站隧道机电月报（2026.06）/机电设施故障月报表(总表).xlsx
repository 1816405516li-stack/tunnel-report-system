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/>
  </bookViews>
  <sheets>
    <sheet name="表3-1.机电设施故障月报表6月" sheetId="1" r:id="rId1"/>
  </sheets>
  <definedNames>
    <definedName name="_xlnm._FilterDatabase" localSheetId="0" hidden="1">'表3-1.机电设施故障月报表6月'!$A$4:$T$60</definedName>
    <definedName name="_xlnm.Print_Area" localSheetId="0">'表3-1.机电设施故障月报表6月'!$A$1:$O$60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<sst xmlns="http://schemas.openxmlformats.org/spreadsheetml/2006/main" count="562" uniqueCount="269">
  <si>
    <t>机电设施故障月报表</t>
  </si>
  <si>
    <t xml:space="preserve">路线名称：   修大高速                 路线编码： S81 </t>
  </si>
  <si>
    <t xml:space="preserve">养护机构： 永新东养护站               日    期： 2026 年 6 月 30 日      </t>
  </si>
  <si>
    <t>编号</t>
  </si>
  <si>
    <t>隧道名称</t>
  </si>
  <si>
    <t>故障日期</t>
  </si>
  <si>
    <t>故障地点</t>
  </si>
  <si>
    <t>设备分类</t>
  </si>
  <si>
    <t>设备名称</t>
  </si>
  <si>
    <t>故障现象</t>
  </si>
  <si>
    <t>故障原因</t>
  </si>
  <si>
    <t>处置措施</t>
  </si>
  <si>
    <t>修复时间</t>
  </si>
  <si>
    <t>备注</t>
  </si>
  <si>
    <t>更换设备台数</t>
  </si>
  <si>
    <t>故障台数</t>
  </si>
  <si>
    <t>故障天数</t>
  </si>
  <si>
    <t>故障台数×故障天数</t>
  </si>
  <si>
    <t>永井隧道</t>
  </si>
  <si>
    <t xml:space="preserve">6月2日 </t>
  </si>
  <si>
    <t>YK343+730</t>
  </si>
  <si>
    <t>监控与通信设施</t>
  </si>
  <si>
    <t>工业以太网交换机</t>
  </si>
  <si>
    <t>小桩号射流风机、情报板、车道指示器、交通信号灯离线</t>
  </si>
  <si>
    <t>交换机宕机</t>
  </si>
  <si>
    <t>检查发现，交换机宕机，重启交换机后恢复正常</t>
  </si>
  <si>
    <t>上报时间 06021134 接单时间 06021137 修缮时间 06021138</t>
  </si>
  <si>
    <t>石桥二号隧道</t>
  </si>
  <si>
    <t>YK331+542</t>
  </si>
  <si>
    <t>照明设施</t>
  </si>
  <si>
    <t>LED灯</t>
  </si>
  <si>
    <t>下行出口灯光基本照明无法远控</t>
  </si>
  <si>
    <t>空开跳闸</t>
  </si>
  <si>
    <t>检查发现，空开跳闸，重装合闸后恢复正常</t>
  </si>
  <si>
    <t>上报时间 06021437 接单时间 06021442 修缮时间 06021443</t>
  </si>
  <si>
    <t xml:space="preserve">6月3日 </t>
  </si>
  <si>
    <t>ZK343+225</t>
  </si>
  <si>
    <t>视频图像全部离线</t>
  </si>
  <si>
    <t>上报时间 06031704 接单时间 06031718 修缮时间 06031811</t>
  </si>
  <si>
    <t>YK343+517</t>
  </si>
  <si>
    <t>紧急电话全部离线</t>
  </si>
  <si>
    <t>上报时间 06031706 接单时间 06031718 修缮时间 06031810</t>
  </si>
  <si>
    <t>ZK342+630</t>
  </si>
  <si>
    <t>大小桩号电力监控系统离线</t>
  </si>
  <si>
    <t>上报时间 06031706 接单时间 06031725 修缮时间 06031806</t>
  </si>
  <si>
    <t>ZK342+690</t>
  </si>
  <si>
    <t>上报时间 06031707 接单时间 06031725 修缮时间 06031806</t>
  </si>
  <si>
    <t>ZK343+513</t>
  </si>
  <si>
    <t>门禁</t>
  </si>
  <si>
    <t>小桩号配电房门禁脱落</t>
  </si>
  <si>
    <t>电磁锁脱落</t>
  </si>
  <si>
    <t>检查发现，电磁锁脱落，重装安装后恢复正常</t>
  </si>
  <si>
    <t>上报时间 06031708 接单时间 06031725 修缮时间 06031818</t>
  </si>
  <si>
    <t>ZK330+042</t>
  </si>
  <si>
    <t>PLC控制器</t>
  </si>
  <si>
    <t>小桩号配电房PLC屏幕故障，无法显示内容</t>
  </si>
  <si>
    <t>电源故障</t>
  </si>
  <si>
    <t>检查发现，电源故障，更换电源后恢复正常</t>
  </si>
  <si>
    <t>上报时间 06031709 接单时间 06031725 修缮时间 06031808</t>
  </si>
  <si>
    <t xml:space="preserve">6月4日 </t>
  </si>
  <si>
    <t>ZK331+542</t>
  </si>
  <si>
    <t>上行出口基本照明不亮，监控室无法远控</t>
  </si>
  <si>
    <t>空开故障</t>
  </si>
  <si>
    <t>检查发现，空开故障，更换空开后恢复正常</t>
  </si>
  <si>
    <t>上报时间 06041618 接单时间 06041625 修缮时间 06041630</t>
  </si>
  <si>
    <t>下行出口基本照明不亮，监控室无法远控</t>
  </si>
  <si>
    <t>上报时间 06041619 接单时间 06041625 修缮时间 06041629</t>
  </si>
  <si>
    <t>ZK327+202</t>
  </si>
  <si>
    <t>摄像机（枪型固定）</t>
  </si>
  <si>
    <t>ZK327+202视频图像离线</t>
  </si>
  <si>
    <t>上报时间 06041620 接单时间 06041625 修缮时间 06041631</t>
  </si>
  <si>
    <t>YK344+454</t>
  </si>
  <si>
    <t>YK344+454车道指示器离线</t>
  </si>
  <si>
    <t>上报时间 06041621 接单时间 06041625 修缮时间 06041633</t>
  </si>
  <si>
    <t>肖家山隧道</t>
  </si>
  <si>
    <t>ZK391+537</t>
  </si>
  <si>
    <t>梨树下隧道、肖家山隧道、高且隧道、黄坳隧道视频图像、紧急电话、照明远控、车道指示器、交通信号灯全部离线</t>
  </si>
  <si>
    <t>交换机故障造成业务无法上传</t>
  </si>
  <si>
    <t>更换设备</t>
  </si>
  <si>
    <t>上报时间 06041640 接单时间 06041645 修缮时间 06041717</t>
  </si>
  <si>
    <t>梨树下隧道</t>
  </si>
  <si>
    <t>YK372+176</t>
  </si>
  <si>
    <t>车道指示器</t>
  </si>
  <si>
    <t>小桩号供电侧监控设备全部掉线</t>
  </si>
  <si>
    <t>电缆烧坏</t>
  </si>
  <si>
    <t>查找断点重新接续后恢复正常</t>
  </si>
  <si>
    <t>上报时间 06041644 接单时间 06041652 修缮时间 06041804</t>
  </si>
  <si>
    <t>ZK370+906</t>
  </si>
  <si>
    <t>供配电设施</t>
  </si>
  <si>
    <t>电力监控通信管理机</t>
  </si>
  <si>
    <t>大小桩号配电房电力监控系统离线</t>
  </si>
  <si>
    <t>电力监控通信机宕机</t>
  </si>
  <si>
    <t>重启电力监控主机后恢复正常</t>
  </si>
  <si>
    <t>上报时间 06041646 接单时间 06041654 修缮时间 06041758</t>
  </si>
  <si>
    <t>黄坳隧道</t>
  </si>
  <si>
    <t>ZK5+345</t>
  </si>
  <si>
    <t>小桩号配电房电力监控系统离线</t>
  </si>
  <si>
    <t>电力监控通信管理主机宕机</t>
  </si>
  <si>
    <t>上报时间 06041647 接单时间 06041653 修缮时间 06041815</t>
  </si>
  <si>
    <t>高且隧道</t>
  </si>
  <si>
    <t>ZK381+478</t>
  </si>
  <si>
    <t>小桩号、梨树下隧道小桩号射流风机全部离线</t>
  </si>
  <si>
    <t>风机控制通信中断</t>
  </si>
  <si>
    <t>重启交换机后恢复正常</t>
  </si>
  <si>
    <t>上报时间 06041647 接单时间 06041653 修缮时间 06041809</t>
  </si>
  <si>
    <t>YK370+384</t>
  </si>
  <si>
    <t>右洞紧急电话大部分掉线</t>
  </si>
  <si>
    <t>交换机宕机造成紧急电话通信中断</t>
  </si>
  <si>
    <t>上报时间 06041648 接单时间 06041653 修缮时间 06041818</t>
  </si>
  <si>
    <t>YK381+478</t>
  </si>
  <si>
    <t>6路视频图像离线</t>
  </si>
  <si>
    <t>交换机宕机造成通信中断</t>
  </si>
  <si>
    <t>重启汇聚交换机后恢复正常</t>
  </si>
  <si>
    <t>上报时间 06041648 接单时间 06041652 修缮时间 06041848</t>
  </si>
  <si>
    <t>小湖坳隧道</t>
  </si>
  <si>
    <t xml:space="preserve">6月6日 </t>
  </si>
  <si>
    <t>YK348+624</t>
  </si>
  <si>
    <t>摄像机（一体化球型）</t>
  </si>
  <si>
    <t>YK348+624视频图像离线</t>
  </si>
  <si>
    <t>摄像机宕机</t>
  </si>
  <si>
    <t>摄像机宕机，重启摄像机后恢复正常</t>
  </si>
  <si>
    <t>上报时间 06061837 接单时间 06061848 修缮时间 06061850</t>
  </si>
  <si>
    <t>ZK389+818、YK387+495、YK390+320</t>
  </si>
  <si>
    <t>紧急电话</t>
  </si>
  <si>
    <t>ZK389+818、YK387+495、YK390+320紧急电话离线</t>
  </si>
  <si>
    <t>上报时间 06061840 接单时间 06061848 修缮时间 06061852</t>
  </si>
  <si>
    <t>ZK390+137</t>
  </si>
  <si>
    <t>右洞车道指示器全部离线</t>
  </si>
  <si>
    <t>尾纤故障</t>
  </si>
  <si>
    <t>检查发现，plc柜内尾纤故障，更换尾纤后恢复正常</t>
  </si>
  <si>
    <t>上报时间 06061841 接单时间 06061848 修缮时间 06061857</t>
  </si>
  <si>
    <t xml:space="preserve">6月8日 </t>
  </si>
  <si>
    <t>YK330+244</t>
  </si>
  <si>
    <t>YK330+244射流风机故障</t>
  </si>
  <si>
    <t>plc模块故障</t>
  </si>
  <si>
    <t>检查发现，plc模块故障，更换模块后恢复正常</t>
  </si>
  <si>
    <t>上报时间 06081213 接单时间 06081223 修缮时间 06081226</t>
  </si>
  <si>
    <t>YK343+804</t>
  </si>
  <si>
    <t>情报板（洞内）</t>
  </si>
  <si>
    <t>YK343+804情报板故障</t>
  </si>
  <si>
    <t>交换机故障</t>
  </si>
  <si>
    <t>交换机故障，更换交换机后恢复正常</t>
  </si>
  <si>
    <t>上报时间 06081214 接单时间 06081223 修缮时间 06081225</t>
  </si>
  <si>
    <t>YK368+844</t>
  </si>
  <si>
    <t>YK368+844情报板故障</t>
  </si>
  <si>
    <t>配置丢失，无法发送信息</t>
  </si>
  <si>
    <t>重新给情报板设置配置后恢复正常</t>
  </si>
  <si>
    <t xml:space="preserve">6月9日 </t>
  </si>
  <si>
    <t>上报时间 06081224 接单时间 06091036 修缮时间 06091059</t>
  </si>
  <si>
    <t>ZK389+564</t>
  </si>
  <si>
    <t>ZK389+564情报板故障</t>
  </si>
  <si>
    <t>情报板恢复出厂设置，IP改为初始IP</t>
  </si>
  <si>
    <t>重新更改IP，设置情报板配置文件后恢复正常</t>
  </si>
  <si>
    <t>上报时间 06081225 接单时间 06091036 修缮时间 06091038</t>
  </si>
  <si>
    <t>YK154+150</t>
  </si>
  <si>
    <t>YK154+150车行横洞卷帘门故障</t>
  </si>
  <si>
    <t>控制器故障</t>
  </si>
  <si>
    <t>检查发现，卷闸门控制器故障，更换控制器后恢复正常</t>
  </si>
  <si>
    <t xml:space="preserve">6月10日 </t>
  </si>
  <si>
    <t>上报时间 06081226 接单时间 06101219 修缮时间 06101257</t>
  </si>
  <si>
    <t>监控平台显示画面不正常</t>
  </si>
  <si>
    <t>摄像机配置故障</t>
  </si>
  <si>
    <t>检查发现，摄像机配置故障，重新配置摄像机参数后恢复正常</t>
  </si>
  <si>
    <t>上报时间 06081959 接单时间 06101219 修缮时间 06101253</t>
  </si>
  <si>
    <t>消防设施</t>
  </si>
  <si>
    <t>火灾报警主机</t>
  </si>
  <si>
    <t>大桩号配电房火灾报警系统故障</t>
  </si>
  <si>
    <t>报警主机宕机</t>
  </si>
  <si>
    <t>重启后设备恢复正常</t>
  </si>
  <si>
    <t>上报时间 06091030 接单时间 06091036 修缮时间 06091041</t>
  </si>
  <si>
    <t>ZK387+320</t>
  </si>
  <si>
    <t>小桩号配电房火灾报警系统故障</t>
  </si>
  <si>
    <t>火灾报警主机宕机</t>
  </si>
  <si>
    <t>重新启动后恢复正常</t>
  </si>
  <si>
    <t>上报时间 06091031 接单时间 06091036 修缮时间 06091046</t>
  </si>
  <si>
    <t>ZK314+354</t>
  </si>
  <si>
    <t>ZK314+354视频图像离线</t>
  </si>
  <si>
    <t>摄像机电源故障</t>
  </si>
  <si>
    <t>检查发现，摄像机电源故障，更换电源后恢复正常</t>
  </si>
  <si>
    <t>上报时间 06091149 接单时间 06101219 修缮时间 06101255</t>
  </si>
  <si>
    <t>电光标志（人行横洞）</t>
  </si>
  <si>
    <t>第二个紧急停车带附近诱导灯不亮</t>
  </si>
  <si>
    <t>上报时间 06091718 接单时间 06101220 修缮时间 06101248</t>
  </si>
  <si>
    <t>视频图像大部分掉线（37/101）</t>
  </si>
  <si>
    <t>检查发现，空开故障，重新合闸后恢复正常</t>
  </si>
  <si>
    <t>上报时间 06091730 接单时间 06101220 修缮时间 06101252</t>
  </si>
  <si>
    <t>配电箱</t>
  </si>
  <si>
    <t>照明远控、射流风机、车道指示器离线</t>
  </si>
  <si>
    <t>检查发现，尾纤故障导致链路中断，更换尾纤后恢复正常</t>
  </si>
  <si>
    <t>上报时间 06091735 接单时间 06101220 修缮时间 06101249</t>
  </si>
  <si>
    <t>小桩号配电房电力监控离线</t>
  </si>
  <si>
    <t>电力监控主机宕机</t>
  </si>
  <si>
    <t>重启后恢复正常</t>
  </si>
  <si>
    <t>上报时间 06091739 接单时间 06091814 修缮时间 06091825</t>
  </si>
  <si>
    <t>YK388+750</t>
  </si>
  <si>
    <t>中间配电房电力监控系统离线</t>
  </si>
  <si>
    <t>上报时间 06091745 接单时间 06101727 修缮时间 06101804</t>
  </si>
  <si>
    <t>ZK328+187、ZK327+987、ZK327+887、ZK327+687</t>
  </si>
  <si>
    <t>ZK328+187、ZK327+987、ZK327+887、ZK327+687视频图像离线</t>
  </si>
  <si>
    <t>检查发现，交换机尾纤故障，更换尾纤后恢复正常</t>
  </si>
  <si>
    <t>上报时间 06091748 接单时间 06101220 修缮时间 06101244</t>
  </si>
  <si>
    <t>ZK327+876、ZK328+261</t>
  </si>
  <si>
    <t>ZK327+876、ZK328+261紧急电话广播离线</t>
  </si>
  <si>
    <t>检查发现，尾纤故障导致，更换尾纤后恢复正常</t>
  </si>
  <si>
    <t>上报时间 06101216 接单时间 06101220 修缮时间 06101246</t>
  </si>
  <si>
    <t>重启设备后恢复正常</t>
  </si>
  <si>
    <t>上报时间 06101718 接单时间 06101727 修缮时间 06101747</t>
  </si>
  <si>
    <t>断电和通信链路不通</t>
  </si>
  <si>
    <t>重启监控交换机和重新送电后恢复正常</t>
  </si>
  <si>
    <t>上报时间 06101719 接单时间 06101727 修缮时间 06101731</t>
  </si>
  <si>
    <t>照明远控、射流风机、情报板全部离线</t>
  </si>
  <si>
    <t>plc控制器断电</t>
  </si>
  <si>
    <t>重新送电后恢复正常</t>
  </si>
  <si>
    <t>上报时间 06101720 接单时间 06101728 修缮时间 06101735</t>
  </si>
  <si>
    <t>紧急电话大部分离线</t>
  </si>
  <si>
    <t>紧急电话通信中断</t>
  </si>
  <si>
    <t>交换机重新送电后恢复正常</t>
  </si>
  <si>
    <t>上报时间 06101724 接单时间 06101728 修缮时间 06101739</t>
  </si>
  <si>
    <t>ZK364+298</t>
  </si>
  <si>
    <t>设备宕机</t>
  </si>
  <si>
    <t>检查发现，设备宕机，重启设备后恢复正常</t>
  </si>
  <si>
    <t xml:space="preserve">6月11日 </t>
  </si>
  <si>
    <t>上报时间 06101552 接单时间 06111121 修缮时间 06111123</t>
  </si>
  <si>
    <t>ZK362+726</t>
  </si>
  <si>
    <t>大桩号电力监控系统离线</t>
  </si>
  <si>
    <t>上报时间 06101553 接单时间 06111121 修缮时间 06111125</t>
  </si>
  <si>
    <t>ZK314+011、ZK314+042</t>
  </si>
  <si>
    <t>ZK314+011、ZK314+042视频图像离线</t>
  </si>
  <si>
    <t>上报时间 06101721 接单时间 06111122 修缮时间 06111126</t>
  </si>
  <si>
    <t xml:space="preserve">6月17日 </t>
  </si>
  <si>
    <t>ZK347+685</t>
  </si>
  <si>
    <t>给水管线</t>
  </si>
  <si>
    <t>ZK347+685给水管线漏水</t>
  </si>
  <si>
    <t>抱箍故障</t>
  </si>
  <si>
    <t>检查发现，水管抱箍故障，更换抱箍后恢复正常</t>
  </si>
  <si>
    <t xml:space="preserve">6月22日 </t>
  </si>
  <si>
    <t>上报时间 06170925 接单时间 06220941 修缮时间 06221017</t>
  </si>
  <si>
    <t>YK389+535</t>
  </si>
  <si>
    <t>YK389+535车行横洞卷帘门故障</t>
  </si>
  <si>
    <t>上报时间 06170959 接单时间 06220942 修缮时间 06221031</t>
  </si>
  <si>
    <t xml:space="preserve">6月18日 </t>
  </si>
  <si>
    <t>上行一段照明不亮</t>
  </si>
  <si>
    <t>上报时间 06181615 接单时间 06220942 修缮时间 06221028</t>
  </si>
  <si>
    <t>YK356+049</t>
  </si>
  <si>
    <t>YK356+049视频图像离线</t>
  </si>
  <si>
    <t>上报时间 06220930 接单时间 06220942 修缮时间 06221025</t>
  </si>
  <si>
    <t>YK389+544</t>
  </si>
  <si>
    <t>YK389+544情报板故障</t>
  </si>
  <si>
    <t>上报时间 06220932 接单时间 06220942 修缮时间 06221021</t>
  </si>
  <si>
    <t>YK389+535、YK389+793、YK390+077、YK390+297</t>
  </si>
  <si>
    <t>YK389+535、YK389+793、YK390+077、YK390+297车道指示器故障</t>
  </si>
  <si>
    <t>上报时间 06220933 接单时间 06220942 修缮时间 06221019</t>
  </si>
  <si>
    <t>上行入口行车道加强照明不亮</t>
  </si>
  <si>
    <t>上报时间 06220933 接单时间 06220941 修缮时间 06221010</t>
  </si>
  <si>
    <t>ZK372+449</t>
  </si>
  <si>
    <t>大桩号火灾报警主机系统故障</t>
  </si>
  <si>
    <t>手报故障</t>
  </si>
  <si>
    <t>检查发现，手报故障，更换手报后恢复正常</t>
  </si>
  <si>
    <t>上报时间 06220933 接单时间 06220941 修缮时间 06221012</t>
  </si>
  <si>
    <t>YK331+630</t>
  </si>
  <si>
    <t>光纤光栅信号处理器</t>
  </si>
  <si>
    <t>宜遂路段火灾报警无数据显示</t>
  </si>
  <si>
    <t>服务器服务未开启</t>
  </si>
  <si>
    <t>检查发现，火灾报警服务器服务未开启，重启服务后恢复正常</t>
  </si>
  <si>
    <t>上报时间 06220933 接单时间 06220941 修缮时间 06221015</t>
  </si>
  <si>
    <t>故障设备数量</t>
  </si>
  <si>
    <t>更换设备数量</t>
  </si>
  <si>
    <t>设备完好率</t>
  </si>
  <si>
    <t>制表：                         复核：                    审定：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</si>
</sst>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name val="宋体"/>
      <charset val="134"/>
    </font>
    <font>
      <sz val="10"/>
      <name val="宋体"/>
      <charset val="134"/>
    </font>
    <font>
      <sz val="10"/>
      <name val="Times New Roman"/>
      <charset val="134"/>
    </font>
    <font>
      <b/>
      <sz val="12"/>
      <name val="Times New Roman"/>
      <charset val="134"/>
    </font>
    <font>
      <sz val="10"/>
      <color rgb="FF000000"/>
      <name val="宋体"/>
      <charset val="134"/>
    </font>
    <font>
      <sz val="10"/>
      <color rgb="FF333333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>
      <alignment vertical="center"/>
    </xf>
    <xf numFmtId="44" fontId="6" fillId="0" borderId="0">
      <alignment vertical="center"/>
    </xf>
    <xf numFmtId="9" fontId="6" fillId="0" borderId="0">
      <alignment vertical="center"/>
    </xf>
    <xf numFmtId="41" fontId="6" fillId="0" borderId="0">
      <alignment vertical="center"/>
    </xf>
    <xf numFmtId="42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6" fillId="2" borderId="3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4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4" fillId="0" borderId="0">
      <alignment vertical="center"/>
    </xf>
    <xf numFmtId="0" fontId="15" fillId="3" borderId="6">
      <alignment vertical="center"/>
    </xf>
    <xf numFmtId="0" fontId="16" fillId="4" borderId="7">
      <alignment vertical="center"/>
    </xf>
    <xf numFmtId="0" fontId="17" fillId="4" borderId="6">
      <alignment vertical="center"/>
    </xf>
    <xf numFmtId="0" fontId="18" fillId="5" borderId="8">
      <alignment vertical="center"/>
    </xf>
    <xf numFmtId="0" fontId="19" fillId="0" borderId="9">
      <alignment vertical="center"/>
    </xf>
    <xf numFmtId="0" fontId="20" fillId="0" borderId="10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17">
    <xf numFmtId="0" fontId="0" fillId="0" borderId="0" xfId="0" applyAlignment="1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/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58" fontId="4" fillId="0" borderId="2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60"/>
  <sheetViews>
    <sheetView showGridLines="0" tabSelected="1" workbookViewId="0">
      <pane ySplit="4" topLeftCell="A49" activePane="bottomLeft" state="frozen"/>
      <selection/>
      <selection pane="bottomLeft" activeCell="J7" sqref="J7"/>
    </sheetView>
  </sheetViews>
  <sheetFormatPr defaultColWidth="9" defaultRowHeight="13"/>
  <cols>
    <col min="1" max="1" width="6.08333333333333" style="1" customWidth="1"/>
    <col min="2" max="2" width="9.33333333333333" style="1" customWidth="1"/>
    <col min="3" max="3" width="9.83333333333333" style="2" customWidth="1"/>
    <col min="4" max="4" width="10.5833333333333" style="3" customWidth="1"/>
    <col min="5" max="5" width="9.33333333333333" style="1" customWidth="1"/>
    <col min="6" max="7" width="9" style="1" customWidth="1"/>
    <col min="8" max="8" width="10.8333333333333" style="1" customWidth="1"/>
    <col min="9" max="9" width="11.75" style="1" customWidth="1"/>
    <col min="10" max="10" width="9.83333333333333" style="2" customWidth="1"/>
    <col min="11" max="11" width="14" style="3" customWidth="1"/>
    <col min="12" max="14" width="9" style="1" customWidth="1"/>
    <col min="15" max="15" width="15.3333333333333" style="1" customWidth="1"/>
    <col min="16" max="16384" width="9" style="1" customWidth="1"/>
  </cols>
  <sheetData>
    <row r="1" s="1" customFormat="1" ht="30" customHeight="1" spans="1:20">
      <c r="A1" s="4" t="s">
        <v>0</v>
      </c>
      <c r="L1" s="3"/>
      <c r="M1" s="3"/>
      <c r="N1" s="3"/>
      <c r="O1" s="3"/>
      <c r="P1" s="3"/>
      <c r="S1" s="5"/>
    </row>
    <row r="2" s="1" customFormat="1" ht="20.1" customHeight="1" spans="1:20">
      <c r="A2" s="6" t="s">
        <v>1</v>
      </c>
      <c r="L2" s="3"/>
      <c r="M2" s="3"/>
      <c r="N2" s="7"/>
      <c r="O2" s="7"/>
      <c r="P2" s="7"/>
      <c r="Q2" s="5"/>
      <c r="R2" s="5"/>
      <c r="S2" s="5"/>
      <c r="T2" s="5"/>
    </row>
    <row r="3" s="1" customFormat="1" ht="20.1" customHeight="1" spans="1:20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3"/>
      <c r="M3" s="3"/>
      <c r="N3" s="3"/>
      <c r="O3" s="3"/>
      <c r="P3" s="3"/>
    </row>
    <row r="4" ht="27.75" customHeight="1" spans="1:20">
      <c r="A4" s="10" t="s">
        <v>3</v>
      </c>
      <c r="B4" s="10" t="s">
        <v>4</v>
      </c>
      <c r="C4" s="10" t="s">
        <v>5</v>
      </c>
      <c r="D4" s="11" t="s">
        <v>6</v>
      </c>
      <c r="E4" s="10" t="s">
        <v>7</v>
      </c>
      <c r="F4" s="10" t="s">
        <v>8</v>
      </c>
      <c r="G4" s="11" t="s">
        <v>9</v>
      </c>
      <c r="H4" s="11" t="s">
        <v>10</v>
      </c>
      <c r="I4" s="11" t="s">
        <v>11</v>
      </c>
      <c r="J4" s="10" t="s">
        <v>12</v>
      </c>
      <c r="K4" s="11" t="s">
        <v>13</v>
      </c>
      <c r="L4" s="12" t="s">
        <v>14</v>
      </c>
      <c r="M4" s="12" t="s">
        <v>15</v>
      </c>
      <c r="N4" s="12" t="s">
        <v>16</v>
      </c>
      <c r="O4" s="12" t="s">
        <v>17</v>
      </c>
      <c r="P4" s="3"/>
    </row>
    <row r="5" ht="60" customHeight="1" spans="1:20">
      <c r="A5" s="10">
        <v>1</v>
      </c>
      <c r="B5" s="10" t="s">
        <v>18</v>
      </c>
      <c r="C5" s="13" t="s">
        <v>19</v>
      </c>
      <c r="D5" s="11" t="s">
        <v>20</v>
      </c>
      <c r="E5" s="10" t="s">
        <v>21</v>
      </c>
      <c r="F5" s="10" t="s">
        <v>22</v>
      </c>
      <c r="G5" s="11" t="s">
        <v>23</v>
      </c>
      <c r="H5" s="10" t="s">
        <v>24</v>
      </c>
      <c r="I5" s="11" t="s">
        <v>25</v>
      </c>
      <c r="J5" s="13" t="s">
        <v>19</v>
      </c>
      <c r="K5" s="11" t="s">
        <v>26</v>
      </c>
      <c r="L5" s="14">
        <v>0</v>
      </c>
      <c r="M5" s="14">
        <v>1</v>
      </c>
      <c r="N5" s="14">
        <v>1</v>
      </c>
      <c r="O5" s="14">
        <f t="shared" ref="O5:O58" si="0">PRODUCT(M5,N5)</f>
        <v>1</v>
      </c>
      <c r="P5" s="12"/>
      <c r="Q5" s="15"/>
      <c r="R5" s="15"/>
      <c r="S5" s="15"/>
      <c r="T5" s="15"/>
    </row>
    <row r="6" ht="60" customHeight="1" spans="1:20">
      <c r="A6" s="10">
        <v>2</v>
      </c>
      <c r="B6" s="10" t="s">
        <v>27</v>
      </c>
      <c r="C6" s="13" t="s">
        <v>19</v>
      </c>
      <c r="D6" s="11" t="s">
        <v>28</v>
      </c>
      <c r="E6" s="10" t="s">
        <v>29</v>
      </c>
      <c r="F6" s="10" t="s">
        <v>30</v>
      </c>
      <c r="G6" s="11" t="s">
        <v>31</v>
      </c>
      <c r="H6" s="10" t="s">
        <v>32</v>
      </c>
      <c r="I6" s="11" t="s">
        <v>33</v>
      </c>
      <c r="J6" s="13" t="s">
        <v>19</v>
      </c>
      <c r="K6" s="11" t="s">
        <v>34</v>
      </c>
      <c r="L6" s="14">
        <v>0</v>
      </c>
      <c r="M6" s="14">
        <v>1</v>
      </c>
      <c r="N6" s="14">
        <v>1</v>
      </c>
      <c r="O6" s="14">
        <f t="shared" si="0"/>
        <v>1</v>
      </c>
      <c r="P6" s="12"/>
      <c r="Q6" s="15"/>
      <c r="R6" s="15"/>
      <c r="S6" s="15"/>
      <c r="T6" s="15"/>
    </row>
    <row r="7" ht="60" customHeight="1" spans="1:20">
      <c r="A7" s="10">
        <v>3</v>
      </c>
      <c r="B7" s="10" t="s">
        <v>18</v>
      </c>
      <c r="C7" s="13" t="s">
        <v>35</v>
      </c>
      <c r="D7" s="11" t="s">
        <v>36</v>
      </c>
      <c r="E7" s="10" t="s">
        <v>21</v>
      </c>
      <c r="F7" s="10" t="s">
        <v>22</v>
      </c>
      <c r="G7" s="11" t="s">
        <v>37</v>
      </c>
      <c r="H7" s="10" t="s">
        <v>24</v>
      </c>
      <c r="I7" s="11" t="s">
        <v>25</v>
      </c>
      <c r="J7" s="13" t="s">
        <v>35</v>
      </c>
      <c r="K7" s="11" t="s">
        <v>38</v>
      </c>
      <c r="L7" s="14">
        <v>0</v>
      </c>
      <c r="M7" s="14">
        <v>1</v>
      </c>
      <c r="N7" s="14">
        <v>1</v>
      </c>
      <c r="O7" s="14">
        <f t="shared" si="0"/>
        <v>1</v>
      </c>
      <c r="P7" s="12"/>
      <c r="Q7" s="15"/>
      <c r="R7" s="15"/>
      <c r="S7" s="15"/>
      <c r="T7" s="15"/>
    </row>
    <row r="8" ht="60" customHeight="1" spans="1:20">
      <c r="A8" s="10">
        <v>4</v>
      </c>
      <c r="B8" s="10" t="s">
        <v>18</v>
      </c>
      <c r="C8" s="13" t="s">
        <v>35</v>
      </c>
      <c r="D8" s="11" t="s">
        <v>39</v>
      </c>
      <c r="E8" s="10" t="s">
        <v>21</v>
      </c>
      <c r="F8" s="10" t="s">
        <v>22</v>
      </c>
      <c r="G8" s="11" t="s">
        <v>40</v>
      </c>
      <c r="H8" s="10" t="s">
        <v>24</v>
      </c>
      <c r="I8" s="11" t="s">
        <v>25</v>
      </c>
      <c r="J8" s="13" t="s">
        <v>35</v>
      </c>
      <c r="K8" s="11" t="s">
        <v>41</v>
      </c>
      <c r="L8" s="14">
        <v>0</v>
      </c>
      <c r="M8" s="14">
        <v>1</v>
      </c>
      <c r="N8" s="14">
        <v>1</v>
      </c>
      <c r="O8" s="14">
        <f t="shared" si="0"/>
        <v>1</v>
      </c>
      <c r="P8" s="12"/>
      <c r="Q8" s="15"/>
      <c r="R8" s="15"/>
      <c r="S8" s="15"/>
      <c r="T8" s="15"/>
    </row>
    <row r="9" ht="60" customHeight="1" spans="1:20">
      <c r="A9" s="10">
        <v>5</v>
      </c>
      <c r="B9" s="10" t="s">
        <v>18</v>
      </c>
      <c r="C9" s="13" t="s">
        <v>35</v>
      </c>
      <c r="D9" s="11" t="s">
        <v>42</v>
      </c>
      <c r="E9" s="10" t="s">
        <v>21</v>
      </c>
      <c r="F9" s="10" t="s">
        <v>22</v>
      </c>
      <c r="G9" s="11" t="s">
        <v>43</v>
      </c>
      <c r="H9" s="10" t="s">
        <v>24</v>
      </c>
      <c r="I9" s="11" t="s">
        <v>25</v>
      </c>
      <c r="J9" s="13" t="s">
        <v>35</v>
      </c>
      <c r="K9" s="10" t="s">
        <v>44</v>
      </c>
      <c r="L9" s="14">
        <v>0</v>
      </c>
      <c r="M9" s="14">
        <v>1</v>
      </c>
      <c r="N9" s="14">
        <v>1</v>
      </c>
      <c r="O9" s="14">
        <f t="shared" si="0"/>
        <v>1</v>
      </c>
      <c r="P9" s="12"/>
      <c r="Q9" s="15"/>
      <c r="R9" s="15"/>
      <c r="S9" s="15"/>
      <c r="T9" s="15"/>
    </row>
    <row r="10" ht="60" customHeight="1" spans="1:20">
      <c r="A10" s="10">
        <v>6</v>
      </c>
      <c r="B10" s="10" t="s">
        <v>18</v>
      </c>
      <c r="C10" s="16" t="s">
        <v>35</v>
      </c>
      <c r="D10" s="11" t="s">
        <v>45</v>
      </c>
      <c r="E10" s="11" t="s">
        <v>21</v>
      </c>
      <c r="F10" s="10" t="s">
        <v>22</v>
      </c>
      <c r="G10" s="11" t="s">
        <v>23</v>
      </c>
      <c r="H10" s="11" t="s">
        <v>24</v>
      </c>
      <c r="I10" s="11" t="s">
        <v>25</v>
      </c>
      <c r="J10" s="13" t="s">
        <v>35</v>
      </c>
      <c r="K10" s="11" t="s">
        <v>46</v>
      </c>
      <c r="L10" s="14">
        <v>0</v>
      </c>
      <c r="M10" s="14">
        <v>1</v>
      </c>
      <c r="N10" s="14">
        <v>1</v>
      </c>
      <c r="O10" s="14">
        <f t="shared" si="0"/>
        <v>1</v>
      </c>
      <c r="P10" s="12"/>
      <c r="Q10" s="15"/>
      <c r="R10" s="15"/>
      <c r="S10" s="15"/>
      <c r="T10" s="15"/>
    </row>
    <row r="11" ht="60" customHeight="1" spans="1:20">
      <c r="A11" s="10">
        <v>7</v>
      </c>
      <c r="B11" s="10" t="s">
        <v>18</v>
      </c>
      <c r="C11" s="13" t="s">
        <v>35</v>
      </c>
      <c r="D11" s="11" t="s">
        <v>47</v>
      </c>
      <c r="E11" s="10" t="s">
        <v>21</v>
      </c>
      <c r="F11" s="10" t="s">
        <v>48</v>
      </c>
      <c r="G11" s="10" t="s">
        <v>49</v>
      </c>
      <c r="H11" s="10" t="s">
        <v>50</v>
      </c>
      <c r="I11" s="11" t="s">
        <v>51</v>
      </c>
      <c r="J11" s="13" t="s">
        <v>35</v>
      </c>
      <c r="K11" s="10" t="s">
        <v>52</v>
      </c>
      <c r="L11" s="14">
        <v>0</v>
      </c>
      <c r="M11" s="14">
        <v>1</v>
      </c>
      <c r="N11" s="14">
        <v>1</v>
      </c>
      <c r="O11" s="14">
        <f t="shared" si="0"/>
        <v>1</v>
      </c>
      <c r="P11" s="12"/>
      <c r="Q11" s="15"/>
      <c r="R11" s="15"/>
      <c r="S11" s="15"/>
      <c r="T11" s="15"/>
    </row>
    <row r="12" ht="60" customHeight="1" spans="1:20">
      <c r="A12" s="10">
        <v>8</v>
      </c>
      <c r="B12" s="10" t="s">
        <v>27</v>
      </c>
      <c r="C12" s="13" t="s">
        <v>35</v>
      </c>
      <c r="D12" s="11" t="s">
        <v>53</v>
      </c>
      <c r="E12" s="10" t="s">
        <v>21</v>
      </c>
      <c r="F12" s="10" t="s">
        <v>54</v>
      </c>
      <c r="G12" s="11" t="s">
        <v>55</v>
      </c>
      <c r="H12" s="11" t="s">
        <v>56</v>
      </c>
      <c r="I12" s="11" t="s">
        <v>57</v>
      </c>
      <c r="J12" s="13" t="s">
        <v>35</v>
      </c>
      <c r="K12" s="10" t="s">
        <v>58</v>
      </c>
      <c r="L12" s="14">
        <v>1</v>
      </c>
      <c r="M12" s="14">
        <v>1</v>
      </c>
      <c r="N12" s="14">
        <v>1</v>
      </c>
      <c r="O12" s="14">
        <f t="shared" si="0"/>
        <v>1</v>
      </c>
      <c r="P12" s="12"/>
      <c r="Q12" s="15"/>
      <c r="R12" s="15"/>
      <c r="S12" s="15"/>
      <c r="T12" s="15"/>
    </row>
    <row r="13" ht="60" customHeight="1" spans="1:20">
      <c r="A13" s="10">
        <v>9</v>
      </c>
      <c r="B13" s="10" t="s">
        <v>27</v>
      </c>
      <c r="C13" s="13" t="s">
        <v>59</v>
      </c>
      <c r="D13" s="11" t="s">
        <v>60</v>
      </c>
      <c r="E13" s="10" t="s">
        <v>29</v>
      </c>
      <c r="F13" s="10" t="s">
        <v>30</v>
      </c>
      <c r="G13" s="11" t="s">
        <v>61</v>
      </c>
      <c r="H13" s="11" t="s">
        <v>62</v>
      </c>
      <c r="I13" s="11" t="s">
        <v>63</v>
      </c>
      <c r="J13" s="13" t="s">
        <v>59</v>
      </c>
      <c r="K13" s="10" t="s">
        <v>64</v>
      </c>
      <c r="L13" s="14">
        <v>1</v>
      </c>
      <c r="M13" s="14">
        <v>1</v>
      </c>
      <c r="N13" s="14">
        <v>1</v>
      </c>
      <c r="O13" s="14">
        <f t="shared" si="0"/>
        <v>1</v>
      </c>
      <c r="P13" s="12"/>
      <c r="Q13" s="15"/>
      <c r="R13" s="15"/>
      <c r="S13" s="15"/>
      <c r="T13" s="15"/>
    </row>
    <row r="14" ht="67" customHeight="1" spans="1:20">
      <c r="A14" s="10">
        <v>10</v>
      </c>
      <c r="B14" s="10" t="s">
        <v>27</v>
      </c>
      <c r="C14" s="13" t="s">
        <v>59</v>
      </c>
      <c r="D14" s="11" t="s">
        <v>28</v>
      </c>
      <c r="E14" s="10" t="s">
        <v>29</v>
      </c>
      <c r="F14" s="10" t="s">
        <v>30</v>
      </c>
      <c r="G14" s="11" t="s">
        <v>65</v>
      </c>
      <c r="H14" s="10" t="s">
        <v>62</v>
      </c>
      <c r="I14" s="11" t="s">
        <v>63</v>
      </c>
      <c r="J14" s="13" t="s">
        <v>59</v>
      </c>
      <c r="K14" s="11" t="s">
        <v>66</v>
      </c>
      <c r="L14" s="14">
        <v>1</v>
      </c>
      <c r="M14" s="14">
        <v>1</v>
      </c>
      <c r="N14" s="14">
        <v>1</v>
      </c>
      <c r="O14" s="14">
        <f t="shared" si="0"/>
        <v>1</v>
      </c>
      <c r="P14" s="12"/>
      <c r="Q14" s="15"/>
      <c r="R14" s="15"/>
      <c r="S14" s="15"/>
      <c r="T14" s="15"/>
    </row>
    <row r="15" ht="60" customHeight="1" spans="1:20">
      <c r="A15" s="10">
        <v>11</v>
      </c>
      <c r="B15" s="10" t="s">
        <v>18</v>
      </c>
      <c r="C15" s="13" t="s">
        <v>59</v>
      </c>
      <c r="D15" s="11" t="s">
        <v>67</v>
      </c>
      <c r="E15" s="10" t="s">
        <v>21</v>
      </c>
      <c r="F15" s="10" t="s">
        <v>68</v>
      </c>
      <c r="G15" s="11" t="s">
        <v>69</v>
      </c>
      <c r="H15" s="10" t="s">
        <v>62</v>
      </c>
      <c r="I15" s="11" t="s">
        <v>63</v>
      </c>
      <c r="J15" s="13" t="s">
        <v>59</v>
      </c>
      <c r="K15" s="11" t="s">
        <v>70</v>
      </c>
      <c r="L15" s="14">
        <v>1</v>
      </c>
      <c r="M15" s="14">
        <v>1</v>
      </c>
      <c r="N15" s="14">
        <v>1</v>
      </c>
      <c r="O15" s="14">
        <f t="shared" si="0"/>
        <v>1</v>
      </c>
      <c r="P15" s="12"/>
      <c r="Q15" s="15"/>
      <c r="R15" s="15"/>
      <c r="S15" s="15"/>
      <c r="T15" s="15"/>
    </row>
    <row r="16" ht="60" customHeight="1" spans="1:20">
      <c r="A16" s="10">
        <v>12</v>
      </c>
      <c r="B16" s="10" t="s">
        <v>18</v>
      </c>
      <c r="C16" s="13" t="s">
        <v>59</v>
      </c>
      <c r="D16" s="11" t="s">
        <v>71</v>
      </c>
      <c r="E16" s="10" t="s">
        <v>21</v>
      </c>
      <c r="F16" s="10" t="s">
        <v>54</v>
      </c>
      <c r="G16" s="11" t="s">
        <v>72</v>
      </c>
      <c r="H16" s="10" t="s">
        <v>56</v>
      </c>
      <c r="I16" s="11" t="s">
        <v>57</v>
      </c>
      <c r="J16" s="13" t="s">
        <v>59</v>
      </c>
      <c r="K16" s="11" t="s">
        <v>73</v>
      </c>
      <c r="L16" s="14">
        <v>1</v>
      </c>
      <c r="M16" s="14">
        <v>1</v>
      </c>
      <c r="N16" s="14">
        <v>1</v>
      </c>
      <c r="O16" s="14">
        <f t="shared" si="0"/>
        <v>1</v>
      </c>
      <c r="P16" s="12"/>
      <c r="Q16" s="15"/>
      <c r="R16" s="15"/>
      <c r="S16" s="15"/>
      <c r="T16" s="15"/>
    </row>
    <row r="17" ht="60" customHeight="1" spans="1:20">
      <c r="A17" s="10">
        <v>13</v>
      </c>
      <c r="B17" s="10" t="s">
        <v>74</v>
      </c>
      <c r="C17" s="13" t="s">
        <v>59</v>
      </c>
      <c r="D17" s="11" t="s">
        <v>75</v>
      </c>
      <c r="E17" s="10" t="s">
        <v>21</v>
      </c>
      <c r="F17" s="10" t="s">
        <v>22</v>
      </c>
      <c r="G17" s="11" t="s">
        <v>76</v>
      </c>
      <c r="H17" s="11" t="s">
        <v>77</v>
      </c>
      <c r="I17" s="11" t="s">
        <v>78</v>
      </c>
      <c r="J17" s="13" t="s">
        <v>59</v>
      </c>
      <c r="K17" s="11" t="s">
        <v>79</v>
      </c>
      <c r="L17" s="14">
        <v>1</v>
      </c>
      <c r="M17" s="14">
        <v>1</v>
      </c>
      <c r="N17" s="14">
        <v>1</v>
      </c>
      <c r="O17" s="14">
        <f t="shared" si="0"/>
        <v>1</v>
      </c>
      <c r="P17" s="12"/>
      <c r="Q17" s="15"/>
      <c r="R17" s="15"/>
      <c r="S17" s="15"/>
      <c r="T17" s="15"/>
    </row>
    <row r="18" ht="60" customHeight="1" spans="1:20">
      <c r="A18" s="10">
        <v>14</v>
      </c>
      <c r="B18" s="10" t="s">
        <v>80</v>
      </c>
      <c r="C18" s="13" t="s">
        <v>59</v>
      </c>
      <c r="D18" s="11" t="s">
        <v>81</v>
      </c>
      <c r="E18" s="10" t="s">
        <v>21</v>
      </c>
      <c r="F18" s="10" t="s">
        <v>82</v>
      </c>
      <c r="G18" s="11" t="s">
        <v>83</v>
      </c>
      <c r="H18" s="10" t="s">
        <v>84</v>
      </c>
      <c r="I18" s="11" t="s">
        <v>85</v>
      </c>
      <c r="J18" s="13" t="s">
        <v>59</v>
      </c>
      <c r="K18" s="11" t="s">
        <v>86</v>
      </c>
      <c r="L18" s="14">
        <v>0</v>
      </c>
      <c r="M18" s="14">
        <v>1</v>
      </c>
      <c r="N18" s="14">
        <v>1</v>
      </c>
      <c r="O18" s="14">
        <f t="shared" si="0"/>
        <v>1</v>
      </c>
      <c r="P18" s="12"/>
      <c r="Q18" s="15"/>
      <c r="R18" s="15"/>
      <c r="S18" s="15"/>
      <c r="T18" s="15"/>
    </row>
    <row r="19" ht="60" customHeight="1" spans="1:20">
      <c r="A19" s="10">
        <v>15</v>
      </c>
      <c r="B19" s="10" t="s">
        <v>80</v>
      </c>
      <c r="C19" s="13" t="s">
        <v>59</v>
      </c>
      <c r="D19" s="11" t="s">
        <v>87</v>
      </c>
      <c r="E19" s="10" t="s">
        <v>88</v>
      </c>
      <c r="F19" s="10" t="s">
        <v>89</v>
      </c>
      <c r="G19" s="10" t="s">
        <v>90</v>
      </c>
      <c r="H19" s="11" t="s">
        <v>91</v>
      </c>
      <c r="I19" s="11" t="s">
        <v>92</v>
      </c>
      <c r="J19" s="13" t="s">
        <v>59</v>
      </c>
      <c r="K19" s="11" t="s">
        <v>93</v>
      </c>
      <c r="L19" s="14">
        <v>0</v>
      </c>
      <c r="M19" s="14">
        <v>1</v>
      </c>
      <c r="N19" s="14">
        <v>1</v>
      </c>
      <c r="O19" s="14">
        <f t="shared" si="0"/>
        <v>1</v>
      </c>
      <c r="P19" s="12"/>
      <c r="Q19" s="15"/>
      <c r="R19" s="15"/>
      <c r="S19" s="15"/>
      <c r="T19" s="15"/>
    </row>
    <row r="20" ht="60" customHeight="1" spans="1:20">
      <c r="A20" s="10">
        <v>16</v>
      </c>
      <c r="B20" s="10" t="s">
        <v>94</v>
      </c>
      <c r="C20" s="13" t="s">
        <v>59</v>
      </c>
      <c r="D20" s="11" t="s">
        <v>95</v>
      </c>
      <c r="E20" s="10" t="s">
        <v>88</v>
      </c>
      <c r="F20" s="10" t="s">
        <v>89</v>
      </c>
      <c r="G20" s="11" t="s">
        <v>96</v>
      </c>
      <c r="H20" s="10" t="s">
        <v>97</v>
      </c>
      <c r="I20" s="11" t="s">
        <v>92</v>
      </c>
      <c r="J20" s="13" t="s">
        <v>59</v>
      </c>
      <c r="K20" s="10" t="s">
        <v>98</v>
      </c>
      <c r="L20" s="14">
        <v>0</v>
      </c>
      <c r="M20" s="14">
        <v>1</v>
      </c>
      <c r="N20" s="14">
        <v>1</v>
      </c>
      <c r="O20" s="14">
        <f t="shared" si="0"/>
        <v>1</v>
      </c>
      <c r="P20" s="12"/>
      <c r="Q20" s="15"/>
      <c r="R20" s="15"/>
      <c r="S20" s="15"/>
      <c r="T20" s="15"/>
    </row>
    <row r="21" ht="60" customHeight="1" spans="1:20">
      <c r="A21" s="10">
        <v>17</v>
      </c>
      <c r="B21" s="10" t="s">
        <v>99</v>
      </c>
      <c r="C21" s="13" t="s">
        <v>59</v>
      </c>
      <c r="D21" s="11" t="s">
        <v>100</v>
      </c>
      <c r="E21" s="10" t="s">
        <v>21</v>
      </c>
      <c r="F21" s="10" t="s">
        <v>54</v>
      </c>
      <c r="G21" s="11" t="s">
        <v>101</v>
      </c>
      <c r="H21" s="10" t="s">
        <v>102</v>
      </c>
      <c r="I21" s="11" t="s">
        <v>103</v>
      </c>
      <c r="J21" s="13" t="s">
        <v>59</v>
      </c>
      <c r="K21" s="10" t="s">
        <v>104</v>
      </c>
      <c r="L21" s="14">
        <v>0</v>
      </c>
      <c r="M21" s="14">
        <v>1</v>
      </c>
      <c r="N21" s="14">
        <v>1</v>
      </c>
      <c r="O21" s="14">
        <f t="shared" si="0"/>
        <v>1</v>
      </c>
      <c r="P21" s="12"/>
      <c r="Q21" s="15"/>
      <c r="R21" s="15"/>
      <c r="S21" s="15"/>
      <c r="T21" s="15"/>
    </row>
    <row r="22" ht="60" customHeight="1" spans="1:20">
      <c r="A22" s="10">
        <v>18</v>
      </c>
      <c r="B22" s="11" t="s">
        <v>80</v>
      </c>
      <c r="C22" s="11" t="s">
        <v>59</v>
      </c>
      <c r="D22" s="11" t="s">
        <v>105</v>
      </c>
      <c r="E22" s="11" t="s">
        <v>21</v>
      </c>
      <c r="F22" s="11" t="s">
        <v>22</v>
      </c>
      <c r="G22" s="11" t="s">
        <v>106</v>
      </c>
      <c r="H22" s="11" t="s">
        <v>107</v>
      </c>
      <c r="I22" s="11" t="s">
        <v>103</v>
      </c>
      <c r="J22" s="11" t="s">
        <v>59</v>
      </c>
      <c r="K22" s="10" t="s">
        <v>108</v>
      </c>
      <c r="L22" s="14">
        <v>0</v>
      </c>
      <c r="M22" s="14">
        <v>1</v>
      </c>
      <c r="N22" s="14">
        <v>1</v>
      </c>
      <c r="O22" s="14">
        <f t="shared" si="0"/>
        <v>1</v>
      </c>
      <c r="P22" s="12"/>
      <c r="Q22" s="15"/>
      <c r="R22" s="15"/>
      <c r="S22" s="15"/>
      <c r="T22" s="15"/>
    </row>
    <row r="23" ht="60" customHeight="1" spans="1:20">
      <c r="A23" s="10">
        <v>19</v>
      </c>
      <c r="B23" s="11" t="s">
        <v>99</v>
      </c>
      <c r="C23" s="11" t="s">
        <v>59</v>
      </c>
      <c r="D23" s="11" t="s">
        <v>109</v>
      </c>
      <c r="E23" s="11" t="s">
        <v>21</v>
      </c>
      <c r="F23" s="11" t="s">
        <v>68</v>
      </c>
      <c r="G23" s="11" t="s">
        <v>110</v>
      </c>
      <c r="H23" s="11" t="s">
        <v>111</v>
      </c>
      <c r="I23" s="11" t="s">
        <v>112</v>
      </c>
      <c r="J23" s="11" t="s">
        <v>59</v>
      </c>
      <c r="K23" s="11" t="s">
        <v>113</v>
      </c>
      <c r="L23" s="14">
        <v>0</v>
      </c>
      <c r="M23" s="14">
        <v>1</v>
      </c>
      <c r="N23" s="14">
        <v>1</v>
      </c>
      <c r="O23" s="14">
        <f t="shared" si="0"/>
        <v>1</v>
      </c>
      <c r="P23" s="12"/>
      <c r="Q23" s="15"/>
      <c r="R23" s="15"/>
      <c r="S23" s="15"/>
      <c r="T23" s="15"/>
    </row>
    <row r="24" ht="60" customHeight="1" spans="1:20">
      <c r="A24" s="10">
        <v>20</v>
      </c>
      <c r="B24" s="10" t="s">
        <v>114</v>
      </c>
      <c r="C24" s="13" t="s">
        <v>115</v>
      </c>
      <c r="D24" s="11" t="s">
        <v>116</v>
      </c>
      <c r="E24" s="10" t="s">
        <v>21</v>
      </c>
      <c r="F24" s="10" t="s">
        <v>117</v>
      </c>
      <c r="G24" s="11" t="s">
        <v>118</v>
      </c>
      <c r="H24" s="11" t="s">
        <v>119</v>
      </c>
      <c r="I24" s="11" t="s">
        <v>120</v>
      </c>
      <c r="J24" s="13" t="s">
        <v>115</v>
      </c>
      <c r="K24" s="10" t="s">
        <v>121</v>
      </c>
      <c r="L24" s="14">
        <v>0</v>
      </c>
      <c r="M24" s="14">
        <v>1</v>
      </c>
      <c r="N24" s="14">
        <v>1</v>
      </c>
      <c r="O24" s="14">
        <f t="shared" si="0"/>
        <v>1</v>
      </c>
      <c r="P24" s="12"/>
      <c r="Q24" s="15"/>
      <c r="R24" s="15"/>
      <c r="S24" s="15"/>
      <c r="T24" s="15"/>
    </row>
    <row r="25" ht="60" customHeight="1" spans="1:20">
      <c r="A25" s="10">
        <v>21</v>
      </c>
      <c r="B25" s="11" t="s">
        <v>74</v>
      </c>
      <c r="C25" s="13" t="s">
        <v>115</v>
      </c>
      <c r="D25" s="11" t="s">
        <v>122</v>
      </c>
      <c r="E25" s="10" t="s">
        <v>21</v>
      </c>
      <c r="F25" s="10" t="s">
        <v>123</v>
      </c>
      <c r="G25" s="11" t="s">
        <v>124</v>
      </c>
      <c r="H25" s="11" t="s">
        <v>62</v>
      </c>
      <c r="I25" s="11" t="s">
        <v>63</v>
      </c>
      <c r="J25" s="16" t="s">
        <v>115</v>
      </c>
      <c r="K25" s="10" t="s">
        <v>125</v>
      </c>
      <c r="L25" s="14">
        <v>1</v>
      </c>
      <c r="M25" s="14">
        <v>1</v>
      </c>
      <c r="N25" s="14">
        <v>1</v>
      </c>
      <c r="O25" s="14">
        <f t="shared" si="0"/>
        <v>1</v>
      </c>
      <c r="P25" s="12"/>
      <c r="Q25" s="15"/>
      <c r="R25" s="15"/>
      <c r="S25" s="15"/>
      <c r="T25" s="15"/>
    </row>
    <row r="26" ht="60" customHeight="1" spans="1:20">
      <c r="A26" s="10">
        <v>22</v>
      </c>
      <c r="B26" s="10" t="s">
        <v>74</v>
      </c>
      <c r="C26" s="13" t="s">
        <v>115</v>
      </c>
      <c r="D26" s="11" t="s">
        <v>126</v>
      </c>
      <c r="E26" s="10" t="s">
        <v>21</v>
      </c>
      <c r="F26" s="10" t="s">
        <v>54</v>
      </c>
      <c r="G26" s="11" t="s">
        <v>127</v>
      </c>
      <c r="H26" s="10" t="s">
        <v>128</v>
      </c>
      <c r="I26" s="11" t="s">
        <v>129</v>
      </c>
      <c r="J26" s="13" t="s">
        <v>115</v>
      </c>
      <c r="K26" s="10" t="s">
        <v>130</v>
      </c>
      <c r="L26" s="14">
        <v>1</v>
      </c>
      <c r="M26" s="14">
        <v>1</v>
      </c>
      <c r="N26" s="14">
        <v>1</v>
      </c>
      <c r="O26" s="14">
        <f t="shared" si="0"/>
        <v>1</v>
      </c>
      <c r="P26" s="12"/>
      <c r="Q26" s="15"/>
      <c r="R26" s="15"/>
      <c r="S26" s="15"/>
      <c r="T26" s="15"/>
    </row>
    <row r="27" ht="60" customHeight="1" spans="1:20">
      <c r="A27" s="10">
        <v>23</v>
      </c>
      <c r="B27" s="10" t="s">
        <v>27</v>
      </c>
      <c r="C27" s="13" t="s">
        <v>131</v>
      </c>
      <c r="D27" s="11" t="s">
        <v>132</v>
      </c>
      <c r="E27" s="10" t="s">
        <v>21</v>
      </c>
      <c r="F27" s="10" t="s">
        <v>54</v>
      </c>
      <c r="G27" s="11" t="s">
        <v>133</v>
      </c>
      <c r="H27" s="10" t="s">
        <v>134</v>
      </c>
      <c r="I27" s="11" t="s">
        <v>135</v>
      </c>
      <c r="J27" s="13" t="s">
        <v>131</v>
      </c>
      <c r="K27" s="10" t="s">
        <v>136</v>
      </c>
      <c r="L27" s="14">
        <v>1</v>
      </c>
      <c r="M27" s="14">
        <v>1</v>
      </c>
      <c r="N27" s="14">
        <v>1</v>
      </c>
      <c r="O27" s="14">
        <f t="shared" si="0"/>
        <v>1</v>
      </c>
      <c r="P27" s="12"/>
      <c r="Q27" s="15"/>
      <c r="R27" s="15"/>
      <c r="S27" s="15"/>
      <c r="T27" s="15"/>
    </row>
    <row r="28" ht="60" customHeight="1" spans="1:20">
      <c r="A28" s="10">
        <v>24</v>
      </c>
      <c r="B28" s="10" t="s">
        <v>18</v>
      </c>
      <c r="C28" s="13" t="s">
        <v>131</v>
      </c>
      <c r="D28" s="11" t="s">
        <v>137</v>
      </c>
      <c r="E28" s="10" t="s">
        <v>21</v>
      </c>
      <c r="F28" s="10" t="s">
        <v>138</v>
      </c>
      <c r="G28" s="11" t="s">
        <v>139</v>
      </c>
      <c r="H28" s="10" t="s">
        <v>140</v>
      </c>
      <c r="I28" s="11" t="s">
        <v>141</v>
      </c>
      <c r="J28" s="13" t="s">
        <v>131</v>
      </c>
      <c r="K28" s="10" t="s">
        <v>142</v>
      </c>
      <c r="L28" s="14">
        <v>1</v>
      </c>
      <c r="M28" s="14">
        <v>1</v>
      </c>
      <c r="N28" s="14">
        <v>1</v>
      </c>
      <c r="O28" s="14">
        <f t="shared" si="0"/>
        <v>1</v>
      </c>
      <c r="P28" s="12"/>
      <c r="Q28" s="15"/>
      <c r="R28" s="15"/>
      <c r="S28" s="15"/>
      <c r="T28" s="15"/>
    </row>
    <row r="29" ht="60" customHeight="1" spans="1:20">
      <c r="A29" s="10">
        <v>25</v>
      </c>
      <c r="B29" s="10" t="s">
        <v>80</v>
      </c>
      <c r="C29" s="13" t="s">
        <v>131</v>
      </c>
      <c r="D29" s="11" t="s">
        <v>143</v>
      </c>
      <c r="E29" s="10" t="s">
        <v>21</v>
      </c>
      <c r="F29" s="10" t="s">
        <v>138</v>
      </c>
      <c r="G29" s="11" t="s">
        <v>144</v>
      </c>
      <c r="H29" s="10" t="s">
        <v>145</v>
      </c>
      <c r="I29" s="11" t="s">
        <v>146</v>
      </c>
      <c r="J29" s="13" t="s">
        <v>147</v>
      </c>
      <c r="K29" s="10" t="s">
        <v>148</v>
      </c>
      <c r="L29" s="14">
        <v>0</v>
      </c>
      <c r="M29" s="14">
        <v>1</v>
      </c>
      <c r="N29" s="14">
        <v>1</v>
      </c>
      <c r="O29" s="14">
        <f t="shared" si="0"/>
        <v>1</v>
      </c>
      <c r="P29" s="12"/>
      <c r="Q29" s="15"/>
      <c r="R29" s="15"/>
      <c r="S29" s="15"/>
      <c r="T29" s="15"/>
    </row>
    <row r="30" ht="60" customHeight="1" spans="1:20">
      <c r="A30" s="10">
        <v>26</v>
      </c>
      <c r="B30" s="10" t="s">
        <v>74</v>
      </c>
      <c r="C30" s="13" t="s">
        <v>131</v>
      </c>
      <c r="D30" s="11" t="s">
        <v>149</v>
      </c>
      <c r="E30" s="10" t="s">
        <v>21</v>
      </c>
      <c r="F30" s="10" t="s">
        <v>138</v>
      </c>
      <c r="G30" s="11" t="s">
        <v>150</v>
      </c>
      <c r="H30" s="10" t="s">
        <v>151</v>
      </c>
      <c r="I30" s="11" t="s">
        <v>152</v>
      </c>
      <c r="J30" s="13" t="s">
        <v>147</v>
      </c>
      <c r="K30" s="10" t="s">
        <v>153</v>
      </c>
      <c r="L30" s="14">
        <v>0</v>
      </c>
      <c r="M30" s="14">
        <v>1</v>
      </c>
      <c r="N30" s="14">
        <v>1</v>
      </c>
      <c r="O30" s="14">
        <f t="shared" si="0"/>
        <v>1</v>
      </c>
      <c r="P30" s="12"/>
      <c r="Q30" s="15"/>
      <c r="R30" s="15"/>
      <c r="S30" s="15"/>
      <c r="T30" s="15"/>
    </row>
    <row r="31" ht="60" customHeight="1" spans="1:20">
      <c r="A31" s="10">
        <v>27</v>
      </c>
      <c r="B31" s="10" t="s">
        <v>114</v>
      </c>
      <c r="C31" s="13" t="s">
        <v>131</v>
      </c>
      <c r="D31" s="11" t="s">
        <v>154</v>
      </c>
      <c r="E31" s="10" t="s">
        <v>21</v>
      </c>
      <c r="F31" s="10" t="s">
        <v>54</v>
      </c>
      <c r="G31" s="11" t="s">
        <v>155</v>
      </c>
      <c r="H31" s="10" t="s">
        <v>156</v>
      </c>
      <c r="I31" s="11" t="s">
        <v>157</v>
      </c>
      <c r="J31" s="13" t="s">
        <v>158</v>
      </c>
      <c r="K31" s="10" t="s">
        <v>159</v>
      </c>
      <c r="L31" s="14">
        <v>1</v>
      </c>
      <c r="M31" s="14">
        <v>1</v>
      </c>
      <c r="N31" s="14">
        <v>1</v>
      </c>
      <c r="O31" s="14">
        <f t="shared" si="0"/>
        <v>1</v>
      </c>
      <c r="P31" s="12"/>
      <c r="Q31" s="15"/>
      <c r="R31" s="15"/>
      <c r="S31" s="15"/>
      <c r="T31" s="15"/>
    </row>
    <row r="32" ht="60" customHeight="1" spans="1:20">
      <c r="A32" s="10">
        <v>28</v>
      </c>
      <c r="B32" s="10" t="s">
        <v>27</v>
      </c>
      <c r="C32" s="13" t="s">
        <v>131</v>
      </c>
      <c r="D32" s="11" t="s">
        <v>28</v>
      </c>
      <c r="E32" s="10" t="s">
        <v>21</v>
      </c>
      <c r="F32" s="10" t="s">
        <v>68</v>
      </c>
      <c r="G32" s="11" t="s">
        <v>160</v>
      </c>
      <c r="H32" s="10" t="s">
        <v>161</v>
      </c>
      <c r="I32" s="11" t="s">
        <v>162</v>
      </c>
      <c r="J32" s="13" t="s">
        <v>158</v>
      </c>
      <c r="K32" s="10" t="s">
        <v>163</v>
      </c>
      <c r="L32" s="14">
        <v>0</v>
      </c>
      <c r="M32" s="14">
        <v>1</v>
      </c>
      <c r="N32" s="14">
        <v>1</v>
      </c>
      <c r="O32" s="14">
        <f t="shared" si="0"/>
        <v>1</v>
      </c>
      <c r="P32" s="12"/>
      <c r="Q32" s="15"/>
      <c r="R32" s="15"/>
      <c r="S32" s="15"/>
      <c r="T32" s="15"/>
    </row>
    <row r="33" ht="60" customHeight="1" spans="1:20">
      <c r="A33" s="10">
        <v>29</v>
      </c>
      <c r="B33" s="11" t="s">
        <v>74</v>
      </c>
      <c r="C33" s="13" t="s">
        <v>147</v>
      </c>
      <c r="D33" s="11" t="s">
        <v>75</v>
      </c>
      <c r="E33" s="10" t="s">
        <v>164</v>
      </c>
      <c r="F33" s="10" t="s">
        <v>165</v>
      </c>
      <c r="G33" s="11" t="s">
        <v>166</v>
      </c>
      <c r="H33" s="10" t="s">
        <v>167</v>
      </c>
      <c r="I33" s="11" t="s">
        <v>168</v>
      </c>
      <c r="J33" s="13" t="s">
        <v>147</v>
      </c>
      <c r="K33" s="10" t="s">
        <v>169</v>
      </c>
      <c r="L33" s="14">
        <v>0</v>
      </c>
      <c r="M33" s="14">
        <v>1</v>
      </c>
      <c r="N33" s="14">
        <v>1</v>
      </c>
      <c r="O33" s="14">
        <f t="shared" si="0"/>
        <v>1</v>
      </c>
      <c r="P33" s="12"/>
      <c r="Q33" s="15"/>
      <c r="R33" s="15"/>
      <c r="S33" s="15"/>
      <c r="T33" s="15"/>
    </row>
    <row r="34" ht="60" customHeight="1" spans="1:20">
      <c r="A34" s="10">
        <v>30</v>
      </c>
      <c r="B34" s="10" t="s">
        <v>74</v>
      </c>
      <c r="C34" s="13" t="s">
        <v>147</v>
      </c>
      <c r="D34" s="11" t="s">
        <v>170</v>
      </c>
      <c r="E34" s="10" t="s">
        <v>164</v>
      </c>
      <c r="F34" s="10" t="s">
        <v>165</v>
      </c>
      <c r="G34" s="11" t="s">
        <v>171</v>
      </c>
      <c r="H34" s="10" t="s">
        <v>172</v>
      </c>
      <c r="I34" s="11" t="s">
        <v>173</v>
      </c>
      <c r="J34" s="13" t="s">
        <v>147</v>
      </c>
      <c r="K34" s="10" t="s">
        <v>174</v>
      </c>
      <c r="L34" s="14">
        <v>0</v>
      </c>
      <c r="M34" s="14">
        <v>1</v>
      </c>
      <c r="N34" s="14">
        <v>1</v>
      </c>
      <c r="O34" s="14">
        <f t="shared" si="0"/>
        <v>1</v>
      </c>
      <c r="P34" s="12"/>
      <c r="Q34" s="15"/>
      <c r="R34" s="15"/>
      <c r="S34" s="15"/>
      <c r="T34" s="15"/>
    </row>
    <row r="35" ht="60" customHeight="1" spans="1:20">
      <c r="A35" s="10">
        <v>31</v>
      </c>
      <c r="B35" s="10" t="s">
        <v>27</v>
      </c>
      <c r="C35" s="13" t="s">
        <v>147</v>
      </c>
      <c r="D35" s="11" t="s">
        <v>175</v>
      </c>
      <c r="E35" s="10" t="s">
        <v>21</v>
      </c>
      <c r="F35" s="10" t="s">
        <v>117</v>
      </c>
      <c r="G35" s="11" t="s">
        <v>176</v>
      </c>
      <c r="H35" s="11" t="s">
        <v>177</v>
      </c>
      <c r="I35" s="11" t="s">
        <v>178</v>
      </c>
      <c r="J35" s="13" t="s">
        <v>158</v>
      </c>
      <c r="K35" s="11" t="s">
        <v>179</v>
      </c>
      <c r="L35" s="14">
        <v>1</v>
      </c>
      <c r="M35" s="14">
        <v>1</v>
      </c>
      <c r="N35" s="14">
        <v>1</v>
      </c>
      <c r="O35" s="14">
        <f t="shared" si="0"/>
        <v>1</v>
      </c>
      <c r="P35" s="12"/>
      <c r="Q35" s="15"/>
      <c r="R35" s="15"/>
      <c r="S35" s="15"/>
      <c r="T35" s="15"/>
    </row>
    <row r="36" ht="60" customHeight="1" spans="1:20">
      <c r="A36" s="10">
        <v>32</v>
      </c>
      <c r="B36" s="10" t="s">
        <v>27</v>
      </c>
      <c r="C36" s="13" t="s">
        <v>147</v>
      </c>
      <c r="D36" s="11" t="s">
        <v>28</v>
      </c>
      <c r="E36" s="10" t="s">
        <v>21</v>
      </c>
      <c r="F36" s="10" t="s">
        <v>180</v>
      </c>
      <c r="G36" s="11" t="s">
        <v>181</v>
      </c>
      <c r="H36" s="10" t="s">
        <v>56</v>
      </c>
      <c r="I36" s="11" t="s">
        <v>57</v>
      </c>
      <c r="J36" s="13" t="s">
        <v>158</v>
      </c>
      <c r="K36" s="10" t="s">
        <v>182</v>
      </c>
      <c r="L36" s="14">
        <v>1</v>
      </c>
      <c r="M36" s="14">
        <v>1</v>
      </c>
      <c r="N36" s="14">
        <v>1</v>
      </c>
      <c r="O36" s="14">
        <f t="shared" si="0"/>
        <v>1</v>
      </c>
      <c r="P36" s="12"/>
      <c r="Q36" s="15"/>
      <c r="R36" s="15"/>
      <c r="S36" s="15"/>
      <c r="T36" s="15"/>
    </row>
    <row r="37" ht="60" customHeight="1" spans="1:20">
      <c r="A37" s="10">
        <v>33</v>
      </c>
      <c r="B37" s="10" t="s">
        <v>27</v>
      </c>
      <c r="C37" s="13" t="s">
        <v>147</v>
      </c>
      <c r="D37" s="11" t="s">
        <v>60</v>
      </c>
      <c r="E37" s="10" t="s">
        <v>21</v>
      </c>
      <c r="F37" s="10" t="s">
        <v>117</v>
      </c>
      <c r="G37" s="11" t="s">
        <v>183</v>
      </c>
      <c r="H37" s="10" t="s">
        <v>62</v>
      </c>
      <c r="I37" s="11" t="s">
        <v>184</v>
      </c>
      <c r="J37" s="13" t="s">
        <v>158</v>
      </c>
      <c r="K37" s="11" t="s">
        <v>185</v>
      </c>
      <c r="L37" s="14">
        <v>0</v>
      </c>
      <c r="M37" s="14">
        <v>1</v>
      </c>
      <c r="N37" s="14">
        <v>1</v>
      </c>
      <c r="O37" s="14">
        <f t="shared" si="0"/>
        <v>1</v>
      </c>
      <c r="P37" s="12"/>
      <c r="Q37" s="15"/>
      <c r="R37" s="15"/>
      <c r="S37" s="15"/>
      <c r="T37" s="15"/>
    </row>
    <row r="38" ht="60" customHeight="1" spans="1:20">
      <c r="A38" s="10">
        <v>34</v>
      </c>
      <c r="B38" s="10" t="s">
        <v>27</v>
      </c>
      <c r="C38" s="13" t="s">
        <v>147</v>
      </c>
      <c r="D38" s="11" t="s">
        <v>28</v>
      </c>
      <c r="E38" s="10" t="s">
        <v>88</v>
      </c>
      <c r="F38" s="10" t="s">
        <v>186</v>
      </c>
      <c r="G38" s="11" t="s">
        <v>187</v>
      </c>
      <c r="H38" s="10" t="s">
        <v>128</v>
      </c>
      <c r="I38" s="11" t="s">
        <v>188</v>
      </c>
      <c r="J38" s="13" t="s">
        <v>158</v>
      </c>
      <c r="K38" s="10" t="s">
        <v>189</v>
      </c>
      <c r="L38" s="14">
        <v>1</v>
      </c>
      <c r="M38" s="14">
        <v>1</v>
      </c>
      <c r="N38" s="14">
        <v>1</v>
      </c>
      <c r="O38" s="14">
        <f t="shared" si="0"/>
        <v>1</v>
      </c>
      <c r="P38" s="12"/>
      <c r="Q38" s="15"/>
      <c r="R38" s="15"/>
      <c r="S38" s="15"/>
      <c r="T38" s="15"/>
    </row>
    <row r="39" ht="60" customHeight="1" spans="1:20">
      <c r="A39" s="10">
        <v>35</v>
      </c>
      <c r="B39" s="10" t="s">
        <v>80</v>
      </c>
      <c r="C39" s="13" t="s">
        <v>147</v>
      </c>
      <c r="D39" s="11" t="s">
        <v>87</v>
      </c>
      <c r="E39" s="10" t="s">
        <v>88</v>
      </c>
      <c r="F39" s="10" t="s">
        <v>89</v>
      </c>
      <c r="G39" s="11" t="s">
        <v>190</v>
      </c>
      <c r="H39" s="10" t="s">
        <v>191</v>
      </c>
      <c r="I39" s="11" t="s">
        <v>192</v>
      </c>
      <c r="J39" s="13" t="s">
        <v>147</v>
      </c>
      <c r="K39" s="10" t="s">
        <v>193</v>
      </c>
      <c r="L39" s="14">
        <v>0</v>
      </c>
      <c r="M39" s="14">
        <v>1</v>
      </c>
      <c r="N39" s="14">
        <v>1</v>
      </c>
      <c r="O39" s="14">
        <f t="shared" si="0"/>
        <v>1</v>
      </c>
      <c r="P39" s="12"/>
      <c r="Q39" s="15"/>
      <c r="R39" s="15"/>
      <c r="S39" s="15"/>
      <c r="T39" s="15"/>
    </row>
    <row r="40" ht="60" customHeight="1" spans="1:20">
      <c r="A40" s="10">
        <v>36</v>
      </c>
      <c r="B40" s="10" t="s">
        <v>74</v>
      </c>
      <c r="C40" s="13" t="s">
        <v>147</v>
      </c>
      <c r="D40" s="11" t="s">
        <v>194</v>
      </c>
      <c r="E40" s="10" t="s">
        <v>88</v>
      </c>
      <c r="F40" s="10" t="s">
        <v>89</v>
      </c>
      <c r="G40" s="11" t="s">
        <v>195</v>
      </c>
      <c r="H40" s="11" t="s">
        <v>191</v>
      </c>
      <c r="I40" s="11" t="s">
        <v>192</v>
      </c>
      <c r="J40" s="13" t="s">
        <v>158</v>
      </c>
      <c r="K40" s="10" t="s">
        <v>196</v>
      </c>
      <c r="L40" s="14">
        <v>0</v>
      </c>
      <c r="M40" s="14">
        <v>1</v>
      </c>
      <c r="N40" s="14">
        <v>1</v>
      </c>
      <c r="O40" s="14">
        <f t="shared" si="0"/>
        <v>1</v>
      </c>
      <c r="P40" s="12"/>
      <c r="Q40" s="15"/>
      <c r="R40" s="15"/>
      <c r="S40" s="15"/>
      <c r="T40" s="15"/>
    </row>
    <row r="41" ht="60" customHeight="1" spans="1:20">
      <c r="A41" s="10">
        <v>37</v>
      </c>
      <c r="B41" s="10" t="s">
        <v>18</v>
      </c>
      <c r="C41" s="13" t="s">
        <v>147</v>
      </c>
      <c r="D41" s="11" t="s">
        <v>197</v>
      </c>
      <c r="E41" s="10" t="s">
        <v>21</v>
      </c>
      <c r="F41" s="10" t="s">
        <v>68</v>
      </c>
      <c r="G41" s="11" t="s">
        <v>198</v>
      </c>
      <c r="H41" s="10" t="s">
        <v>128</v>
      </c>
      <c r="I41" s="11" t="s">
        <v>199</v>
      </c>
      <c r="J41" s="13" t="s">
        <v>158</v>
      </c>
      <c r="K41" s="10" t="s">
        <v>200</v>
      </c>
      <c r="L41" s="14">
        <v>1</v>
      </c>
      <c r="M41" s="14">
        <v>1</v>
      </c>
      <c r="N41" s="14">
        <v>1</v>
      </c>
      <c r="O41" s="14">
        <f t="shared" si="0"/>
        <v>1</v>
      </c>
      <c r="P41" s="12"/>
      <c r="Q41" s="15"/>
      <c r="R41" s="15"/>
      <c r="S41" s="15"/>
      <c r="T41" s="15"/>
    </row>
    <row r="42" ht="60" customHeight="1" spans="1:20">
      <c r="A42" s="10">
        <v>38</v>
      </c>
      <c r="B42" s="10" t="s">
        <v>18</v>
      </c>
      <c r="C42" s="13" t="s">
        <v>158</v>
      </c>
      <c r="D42" s="11" t="s">
        <v>201</v>
      </c>
      <c r="E42" s="10" t="s">
        <v>21</v>
      </c>
      <c r="F42" s="10" t="s">
        <v>123</v>
      </c>
      <c r="G42" s="11" t="s">
        <v>202</v>
      </c>
      <c r="H42" s="11" t="s">
        <v>128</v>
      </c>
      <c r="I42" s="11" t="s">
        <v>203</v>
      </c>
      <c r="J42" s="13" t="s">
        <v>158</v>
      </c>
      <c r="K42" s="10" t="s">
        <v>204</v>
      </c>
      <c r="L42" s="14">
        <v>1</v>
      </c>
      <c r="M42" s="14">
        <v>1</v>
      </c>
      <c r="N42" s="14">
        <v>1</v>
      </c>
      <c r="O42" s="14">
        <f t="shared" si="0"/>
        <v>1</v>
      </c>
      <c r="P42" s="12"/>
      <c r="Q42" s="15"/>
      <c r="R42" s="15"/>
      <c r="S42" s="15"/>
      <c r="T42" s="15"/>
    </row>
    <row r="43" ht="60" customHeight="1" spans="1:20">
      <c r="A43" s="10">
        <v>39</v>
      </c>
      <c r="B43" s="10" t="s">
        <v>80</v>
      </c>
      <c r="C43" s="13" t="s">
        <v>158</v>
      </c>
      <c r="D43" s="11" t="s">
        <v>87</v>
      </c>
      <c r="E43" s="10" t="s">
        <v>88</v>
      </c>
      <c r="F43" s="10" t="s">
        <v>89</v>
      </c>
      <c r="G43" s="11" t="s">
        <v>96</v>
      </c>
      <c r="H43" s="11" t="s">
        <v>191</v>
      </c>
      <c r="I43" s="11" t="s">
        <v>205</v>
      </c>
      <c r="J43" s="13" t="s">
        <v>158</v>
      </c>
      <c r="K43" s="10" t="s">
        <v>206</v>
      </c>
      <c r="L43" s="14">
        <v>0</v>
      </c>
      <c r="M43" s="14">
        <v>1</v>
      </c>
      <c r="N43" s="14">
        <v>1</v>
      </c>
      <c r="O43" s="14">
        <f t="shared" si="0"/>
        <v>1</v>
      </c>
      <c r="P43" s="12"/>
      <c r="Q43" s="15"/>
      <c r="R43" s="15"/>
      <c r="S43" s="15"/>
      <c r="T43" s="15"/>
    </row>
    <row r="44" ht="60" customHeight="1" spans="1:20">
      <c r="A44" s="10">
        <v>40</v>
      </c>
      <c r="B44" s="10" t="s">
        <v>80</v>
      </c>
      <c r="C44" s="13" t="s">
        <v>158</v>
      </c>
      <c r="D44" s="11" t="s">
        <v>81</v>
      </c>
      <c r="E44" s="10" t="s">
        <v>21</v>
      </c>
      <c r="F44" s="10" t="s">
        <v>117</v>
      </c>
      <c r="G44" s="11" t="s">
        <v>37</v>
      </c>
      <c r="H44" s="10" t="s">
        <v>207</v>
      </c>
      <c r="I44" s="11" t="s">
        <v>208</v>
      </c>
      <c r="J44" s="13" t="s">
        <v>158</v>
      </c>
      <c r="K44" s="10" t="s">
        <v>209</v>
      </c>
      <c r="L44" s="14">
        <v>0</v>
      </c>
      <c r="M44" s="14">
        <v>1</v>
      </c>
      <c r="N44" s="14">
        <v>1</v>
      </c>
      <c r="O44" s="14">
        <f t="shared" si="0"/>
        <v>1</v>
      </c>
      <c r="P44" s="12"/>
      <c r="Q44" s="15"/>
      <c r="R44" s="15"/>
      <c r="S44" s="15"/>
      <c r="T44" s="15"/>
    </row>
    <row r="45" ht="60" customHeight="1" spans="1:20">
      <c r="A45" s="10">
        <v>41</v>
      </c>
      <c r="B45" s="10" t="s">
        <v>80</v>
      </c>
      <c r="C45" s="13" t="s">
        <v>158</v>
      </c>
      <c r="D45" s="11" t="s">
        <v>81</v>
      </c>
      <c r="E45" s="10" t="s">
        <v>21</v>
      </c>
      <c r="F45" s="10" t="s">
        <v>54</v>
      </c>
      <c r="G45" s="11" t="s">
        <v>210</v>
      </c>
      <c r="H45" s="11" t="s">
        <v>211</v>
      </c>
      <c r="I45" s="11" t="s">
        <v>212</v>
      </c>
      <c r="J45" s="13" t="s">
        <v>158</v>
      </c>
      <c r="K45" s="11" t="s">
        <v>213</v>
      </c>
      <c r="L45" s="14">
        <v>0</v>
      </c>
      <c r="M45" s="14">
        <v>1</v>
      </c>
      <c r="N45" s="14">
        <v>1</v>
      </c>
      <c r="O45" s="14">
        <f t="shared" si="0"/>
        <v>1</v>
      </c>
      <c r="P45" s="12"/>
      <c r="Q45" s="15"/>
      <c r="R45" s="15"/>
      <c r="S45" s="15"/>
      <c r="T45" s="15"/>
    </row>
    <row r="46" ht="60" customHeight="1" spans="1:20">
      <c r="A46" s="10">
        <v>42</v>
      </c>
      <c r="B46" s="10" t="s">
        <v>80</v>
      </c>
      <c r="C46" s="13" t="s">
        <v>158</v>
      </c>
      <c r="D46" s="11" t="s">
        <v>81</v>
      </c>
      <c r="E46" s="10" t="s">
        <v>21</v>
      </c>
      <c r="F46" s="11" t="s">
        <v>123</v>
      </c>
      <c r="G46" s="11" t="s">
        <v>214</v>
      </c>
      <c r="H46" s="11" t="s">
        <v>215</v>
      </c>
      <c r="I46" s="11" t="s">
        <v>216</v>
      </c>
      <c r="J46" s="13" t="s">
        <v>158</v>
      </c>
      <c r="K46" s="11" t="s">
        <v>217</v>
      </c>
      <c r="L46" s="14">
        <v>0</v>
      </c>
      <c r="M46" s="14">
        <v>1</v>
      </c>
      <c r="N46" s="14">
        <v>1</v>
      </c>
      <c r="O46" s="14">
        <f t="shared" si="0"/>
        <v>1</v>
      </c>
      <c r="P46" s="12"/>
      <c r="Q46" s="15"/>
      <c r="R46" s="15"/>
      <c r="S46" s="15"/>
      <c r="T46" s="15"/>
    </row>
    <row r="47" ht="60" customHeight="1" spans="1:20">
      <c r="A47" s="10">
        <v>43</v>
      </c>
      <c r="B47" s="10" t="s">
        <v>114</v>
      </c>
      <c r="C47" s="13" t="s">
        <v>158</v>
      </c>
      <c r="D47" s="11" t="s">
        <v>218</v>
      </c>
      <c r="E47" s="10" t="s">
        <v>88</v>
      </c>
      <c r="F47" s="11" t="s">
        <v>89</v>
      </c>
      <c r="G47" s="11" t="s">
        <v>96</v>
      </c>
      <c r="H47" s="11" t="s">
        <v>219</v>
      </c>
      <c r="I47" s="11" t="s">
        <v>220</v>
      </c>
      <c r="J47" s="13" t="s">
        <v>221</v>
      </c>
      <c r="K47" s="11" t="s">
        <v>222</v>
      </c>
      <c r="L47" s="14">
        <v>0</v>
      </c>
      <c r="M47" s="14">
        <v>1</v>
      </c>
      <c r="N47" s="14">
        <v>1</v>
      </c>
      <c r="O47" s="14">
        <f t="shared" si="0"/>
        <v>1</v>
      </c>
      <c r="P47" s="12"/>
      <c r="Q47" s="15"/>
      <c r="R47" s="15"/>
      <c r="S47" s="15"/>
      <c r="T47" s="15"/>
    </row>
    <row r="48" ht="60" customHeight="1" spans="1:20">
      <c r="A48" s="10">
        <v>44</v>
      </c>
      <c r="B48" s="10" t="s">
        <v>114</v>
      </c>
      <c r="C48" s="13" t="s">
        <v>158</v>
      </c>
      <c r="D48" s="11" t="s">
        <v>223</v>
      </c>
      <c r="E48" s="10" t="s">
        <v>88</v>
      </c>
      <c r="F48" s="11" t="s">
        <v>89</v>
      </c>
      <c r="G48" s="11" t="s">
        <v>224</v>
      </c>
      <c r="H48" s="11" t="s">
        <v>219</v>
      </c>
      <c r="I48" s="11" t="s">
        <v>220</v>
      </c>
      <c r="J48" s="13" t="s">
        <v>221</v>
      </c>
      <c r="K48" s="11" t="s">
        <v>225</v>
      </c>
      <c r="L48" s="14">
        <v>0</v>
      </c>
      <c r="M48" s="14">
        <v>1</v>
      </c>
      <c r="N48" s="14">
        <v>1</v>
      </c>
      <c r="O48" s="14">
        <f t="shared" si="0"/>
        <v>1</v>
      </c>
      <c r="P48" s="12"/>
      <c r="Q48" s="15"/>
      <c r="R48" s="15"/>
      <c r="S48" s="15"/>
      <c r="T48" s="15"/>
    </row>
    <row r="49" s="1" customFormat="1" ht="60" customHeight="1" spans="1:20">
      <c r="A49" s="10">
        <v>45</v>
      </c>
      <c r="B49" s="10" t="s">
        <v>27</v>
      </c>
      <c r="C49" s="13" t="s">
        <v>158</v>
      </c>
      <c r="D49" s="11" t="s">
        <v>226</v>
      </c>
      <c r="E49" s="10" t="s">
        <v>21</v>
      </c>
      <c r="F49" s="11" t="s">
        <v>117</v>
      </c>
      <c r="G49" s="11" t="s">
        <v>227</v>
      </c>
      <c r="H49" s="11" t="s">
        <v>32</v>
      </c>
      <c r="I49" s="11" t="s">
        <v>33</v>
      </c>
      <c r="J49" s="13" t="s">
        <v>221</v>
      </c>
      <c r="K49" s="11" t="s">
        <v>228</v>
      </c>
      <c r="L49" s="14">
        <v>0</v>
      </c>
      <c r="M49" s="14">
        <v>1</v>
      </c>
      <c r="N49" s="14">
        <v>1</v>
      </c>
      <c r="O49" s="14">
        <f t="shared" si="0"/>
        <v>1</v>
      </c>
      <c r="P49" s="12"/>
      <c r="Q49" s="15"/>
      <c r="R49" s="15"/>
      <c r="S49" s="15"/>
      <c r="T49" s="15"/>
    </row>
    <row r="50" ht="60" customHeight="1" spans="1:20">
      <c r="A50" s="10">
        <v>46</v>
      </c>
      <c r="B50" s="10" t="s">
        <v>114</v>
      </c>
      <c r="C50" s="13" t="s">
        <v>229</v>
      </c>
      <c r="D50" s="11" t="s">
        <v>230</v>
      </c>
      <c r="E50" s="10" t="s">
        <v>164</v>
      </c>
      <c r="F50" s="11" t="s">
        <v>231</v>
      </c>
      <c r="G50" s="11" t="s">
        <v>232</v>
      </c>
      <c r="H50" s="11" t="s">
        <v>233</v>
      </c>
      <c r="I50" s="11" t="s">
        <v>234</v>
      </c>
      <c r="J50" s="13" t="s">
        <v>235</v>
      </c>
      <c r="K50" s="11" t="s">
        <v>236</v>
      </c>
      <c r="L50" s="14">
        <v>1</v>
      </c>
      <c r="M50" s="14">
        <v>1</v>
      </c>
      <c r="N50" s="14">
        <v>1</v>
      </c>
      <c r="O50" s="14">
        <f t="shared" si="0"/>
        <v>1</v>
      </c>
      <c r="P50" s="12"/>
      <c r="Q50" s="15"/>
      <c r="R50" s="15"/>
      <c r="S50" s="15"/>
      <c r="T50" s="15"/>
    </row>
    <row r="51" ht="60" customHeight="1" spans="1:20">
      <c r="A51" s="10">
        <v>47</v>
      </c>
      <c r="B51" s="10" t="s">
        <v>74</v>
      </c>
      <c r="C51" s="13" t="s">
        <v>229</v>
      </c>
      <c r="D51" s="11" t="s">
        <v>237</v>
      </c>
      <c r="E51" s="10" t="s">
        <v>21</v>
      </c>
      <c r="F51" s="11" t="s">
        <v>22</v>
      </c>
      <c r="G51" s="11" t="s">
        <v>238</v>
      </c>
      <c r="H51" s="11" t="s">
        <v>24</v>
      </c>
      <c r="I51" s="11" t="s">
        <v>25</v>
      </c>
      <c r="J51" s="13" t="s">
        <v>235</v>
      </c>
      <c r="K51" s="11" t="s">
        <v>239</v>
      </c>
      <c r="L51" s="14">
        <v>0</v>
      </c>
      <c r="M51" s="14">
        <v>1</v>
      </c>
      <c r="N51" s="14">
        <v>1</v>
      </c>
      <c r="O51" s="14">
        <f t="shared" si="0"/>
        <v>1</v>
      </c>
      <c r="P51" s="12"/>
      <c r="Q51" s="15"/>
      <c r="R51" s="15"/>
      <c r="S51" s="15"/>
      <c r="T51" s="15"/>
    </row>
    <row r="52" ht="60" customHeight="1" spans="1:20">
      <c r="A52" s="10">
        <v>48</v>
      </c>
      <c r="B52" s="10" t="s">
        <v>27</v>
      </c>
      <c r="C52" s="13" t="s">
        <v>240</v>
      </c>
      <c r="D52" s="11" t="s">
        <v>28</v>
      </c>
      <c r="E52" s="10" t="s">
        <v>29</v>
      </c>
      <c r="F52" s="11" t="s">
        <v>30</v>
      </c>
      <c r="G52" s="11" t="s">
        <v>241</v>
      </c>
      <c r="H52" s="11" t="s">
        <v>62</v>
      </c>
      <c r="I52" s="11" t="s">
        <v>63</v>
      </c>
      <c r="J52" s="13" t="s">
        <v>235</v>
      </c>
      <c r="K52" s="11" t="s">
        <v>242</v>
      </c>
      <c r="L52" s="14">
        <v>1</v>
      </c>
      <c r="M52" s="14">
        <v>1</v>
      </c>
      <c r="N52" s="14">
        <v>1</v>
      </c>
      <c r="O52" s="14">
        <f t="shared" si="0"/>
        <v>1</v>
      </c>
      <c r="P52" s="12"/>
      <c r="Q52" s="15"/>
      <c r="R52" s="15"/>
      <c r="S52" s="15"/>
      <c r="T52" s="15"/>
    </row>
    <row r="53" ht="60" customHeight="1" spans="1:20">
      <c r="A53" s="10">
        <v>49</v>
      </c>
      <c r="B53" s="10" t="s">
        <v>80</v>
      </c>
      <c r="C53" s="13" t="s">
        <v>235</v>
      </c>
      <c r="D53" s="11" t="s">
        <v>243</v>
      </c>
      <c r="E53" s="10" t="s">
        <v>21</v>
      </c>
      <c r="F53" s="11" t="s">
        <v>117</v>
      </c>
      <c r="G53" s="11" t="s">
        <v>244</v>
      </c>
      <c r="H53" s="11" t="s">
        <v>56</v>
      </c>
      <c r="I53" s="11" t="s">
        <v>178</v>
      </c>
      <c r="J53" s="13" t="s">
        <v>235</v>
      </c>
      <c r="K53" s="11" t="s">
        <v>245</v>
      </c>
      <c r="L53" s="14">
        <v>1</v>
      </c>
      <c r="M53" s="14">
        <v>1</v>
      </c>
      <c r="N53" s="14">
        <v>1</v>
      </c>
      <c r="O53" s="14">
        <f t="shared" si="0"/>
        <v>1</v>
      </c>
      <c r="P53" s="12"/>
      <c r="Q53" s="15"/>
      <c r="R53" s="15"/>
      <c r="S53" s="15"/>
      <c r="T53" s="15"/>
    </row>
    <row r="54" ht="60" customHeight="1" spans="1:20">
      <c r="A54" s="10">
        <v>50</v>
      </c>
      <c r="B54" s="10" t="s">
        <v>74</v>
      </c>
      <c r="C54" s="13" t="s">
        <v>235</v>
      </c>
      <c r="D54" s="11" t="s">
        <v>246</v>
      </c>
      <c r="E54" s="10" t="s">
        <v>21</v>
      </c>
      <c r="F54" s="11" t="s">
        <v>138</v>
      </c>
      <c r="G54" s="11" t="s">
        <v>247</v>
      </c>
      <c r="H54" s="11" t="s">
        <v>24</v>
      </c>
      <c r="I54" s="11" t="s">
        <v>25</v>
      </c>
      <c r="J54" s="13" t="s">
        <v>235</v>
      </c>
      <c r="K54" s="11" t="s">
        <v>248</v>
      </c>
      <c r="L54" s="14">
        <v>0</v>
      </c>
      <c r="M54" s="14">
        <v>1</v>
      </c>
      <c r="N54" s="14">
        <v>1</v>
      </c>
      <c r="O54" s="14">
        <f t="shared" si="0"/>
        <v>1</v>
      </c>
      <c r="P54" s="12"/>
      <c r="Q54" s="15"/>
      <c r="R54" s="15"/>
      <c r="S54" s="15"/>
      <c r="T54" s="15"/>
    </row>
    <row r="55" ht="60" customHeight="1" spans="1:20">
      <c r="A55" s="10">
        <v>51</v>
      </c>
      <c r="B55" s="10" t="s">
        <v>74</v>
      </c>
      <c r="C55" s="13" t="s">
        <v>235</v>
      </c>
      <c r="D55" s="11" t="s">
        <v>249</v>
      </c>
      <c r="E55" s="10" t="s">
        <v>21</v>
      </c>
      <c r="F55" s="11" t="s">
        <v>22</v>
      </c>
      <c r="G55" s="11" t="s">
        <v>250</v>
      </c>
      <c r="H55" s="11" t="s">
        <v>24</v>
      </c>
      <c r="I55" s="11" t="s">
        <v>25</v>
      </c>
      <c r="J55" s="13" t="s">
        <v>235</v>
      </c>
      <c r="K55" s="11" t="s">
        <v>251</v>
      </c>
      <c r="L55" s="14">
        <v>0</v>
      </c>
      <c r="M55" s="14">
        <v>1</v>
      </c>
      <c r="N55" s="14">
        <v>1</v>
      </c>
      <c r="O55" s="14">
        <f t="shared" si="0"/>
        <v>1</v>
      </c>
      <c r="P55" s="12"/>
      <c r="Q55" s="15"/>
      <c r="R55" s="15"/>
      <c r="S55" s="15"/>
      <c r="T55" s="15"/>
    </row>
    <row r="56" ht="60" customHeight="1" spans="1:20">
      <c r="A56" s="10">
        <v>52</v>
      </c>
      <c r="B56" s="10" t="s">
        <v>74</v>
      </c>
      <c r="C56" s="13" t="s">
        <v>235</v>
      </c>
      <c r="D56" s="11" t="s">
        <v>126</v>
      </c>
      <c r="E56" s="10" t="s">
        <v>29</v>
      </c>
      <c r="F56" s="11" t="s">
        <v>30</v>
      </c>
      <c r="G56" s="11" t="s">
        <v>252</v>
      </c>
      <c r="H56" s="11" t="s">
        <v>62</v>
      </c>
      <c r="I56" s="11" t="s">
        <v>63</v>
      </c>
      <c r="J56" s="13" t="s">
        <v>235</v>
      </c>
      <c r="K56" s="11" t="s">
        <v>253</v>
      </c>
      <c r="L56" s="14">
        <v>1</v>
      </c>
      <c r="M56" s="14">
        <v>1</v>
      </c>
      <c r="N56" s="14">
        <v>1</v>
      </c>
      <c r="O56" s="14">
        <f t="shared" si="0"/>
        <v>1</v>
      </c>
      <c r="P56" s="12"/>
      <c r="Q56" s="15"/>
      <c r="R56" s="15"/>
      <c r="S56" s="15"/>
      <c r="T56" s="15"/>
    </row>
    <row r="57" ht="60" customHeight="1" spans="1:20">
      <c r="A57" s="10">
        <v>53</v>
      </c>
      <c r="B57" s="10" t="s">
        <v>80</v>
      </c>
      <c r="C57" s="13" t="s">
        <v>235</v>
      </c>
      <c r="D57" s="11" t="s">
        <v>254</v>
      </c>
      <c r="E57" s="10" t="s">
        <v>21</v>
      </c>
      <c r="F57" s="11" t="s">
        <v>165</v>
      </c>
      <c r="G57" s="11" t="s">
        <v>255</v>
      </c>
      <c r="H57" s="11" t="s">
        <v>256</v>
      </c>
      <c r="I57" s="11" t="s">
        <v>257</v>
      </c>
      <c r="J57" s="13" t="s">
        <v>235</v>
      </c>
      <c r="K57" s="11" t="s">
        <v>258</v>
      </c>
      <c r="L57" s="14">
        <v>1</v>
      </c>
      <c r="M57" s="14">
        <v>1</v>
      </c>
      <c r="N57" s="14">
        <v>1</v>
      </c>
      <c r="O57" s="14">
        <f t="shared" si="0"/>
        <v>1</v>
      </c>
      <c r="P57" s="12"/>
      <c r="Q57" s="15"/>
      <c r="R57" s="15"/>
      <c r="S57" s="15"/>
      <c r="T57" s="15"/>
    </row>
    <row r="58" ht="60" customHeight="1" spans="1:20">
      <c r="A58" s="10">
        <v>54</v>
      </c>
      <c r="B58" s="10" t="s">
        <v>27</v>
      </c>
      <c r="C58" s="13" t="s">
        <v>235</v>
      </c>
      <c r="D58" s="11" t="s">
        <v>259</v>
      </c>
      <c r="E58" s="10" t="s">
        <v>21</v>
      </c>
      <c r="F58" s="11" t="s">
        <v>260</v>
      </c>
      <c r="G58" s="11" t="s">
        <v>261</v>
      </c>
      <c r="H58" s="11" t="s">
        <v>262</v>
      </c>
      <c r="I58" s="11" t="s">
        <v>263</v>
      </c>
      <c r="J58" s="13" t="s">
        <v>235</v>
      </c>
      <c r="K58" s="11" t="s">
        <v>264</v>
      </c>
      <c r="L58" s="14">
        <v>0</v>
      </c>
      <c r="M58" s="14">
        <v>1</v>
      </c>
      <c r="N58" s="14">
        <v>1</v>
      </c>
      <c r="O58" s="14">
        <f t="shared" si="0"/>
        <v>1</v>
      </c>
      <c r="P58" s="12"/>
      <c r="Q58" s="15"/>
      <c r="R58" s="15"/>
      <c r="S58" s="15"/>
      <c r="T58" s="15"/>
    </row>
    <row r="59" ht="36" customHeight="1" spans="1:20">
      <c r="A59" s="10" t="s">
        <v>265</v>
      </c>
      <c r="B59" s="10">
        <f>SUM(M5:M58)</f>
        <v>54</v>
      </c>
      <c r="C59" s="13"/>
      <c r="D59" s="10" t="s">
        <v>266</v>
      </c>
      <c r="E59" s="10">
        <f>SUM(L5:L58)</f>
        <v>21</v>
      </c>
      <c r="F59" s="10"/>
      <c r="G59" s="10" t="s">
        <v>267</v>
      </c>
      <c r="H59" s="10">
        <v>0.9999</v>
      </c>
      <c r="I59" s="11"/>
      <c r="J59" s="13"/>
      <c r="K59" s="10"/>
      <c r="L59" s="14">
        <f>SUM(L5:L58)</f>
        <v>21</v>
      </c>
      <c r="M59" s="14">
        <f>SUM(M5:M58)</f>
        <v>54</v>
      </c>
      <c r="N59" s="14">
        <f>SUM(N5:N58)</f>
        <v>54</v>
      </c>
      <c r="O59" s="14">
        <f>SUM(O5:O58)</f>
        <v>54</v>
      </c>
      <c r="P59" s="12"/>
      <c r="Q59" s="15"/>
      <c r="R59" s="15"/>
      <c r="S59" s="15"/>
      <c r="T59" s="15"/>
    </row>
    <row r="60" s="1" customFormat="1" ht="24.75" customHeight="1" spans="1:20">
      <c r="A60" s="6" t="s">
        <v>268</v>
      </c>
      <c r="L60" s="3"/>
      <c r="M60" s="3"/>
      <c r="N60" s="3"/>
      <c r="O60" s="3"/>
      <c r="P60" s="3"/>
    </row>
  </sheetData>
  <autoFilter xmlns:etc="http://www.wps.cn/officeDocument/2017/etCustomData" ref="A4:T60" etc:filterBottomFollowUsedRange="0">
    <extLst/>
  </autoFilter>
  <mergeCells count="4">
    <mergeCell ref="A1:K1"/>
    <mergeCell ref="A2:K2"/>
    <mergeCell ref="A3:K3"/>
    <mergeCell ref="A60:K60"/>
  </mergeCells>
  <pageMargins left="0.75" right="0.75" top="1" bottom="1" header="0.511805555555556" footer="0.511805555555556"/>
  <pageSetup paperSize="9" scale="58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表3-1.机电设施故障月报表6月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</cp:lastModifiedBy>
  <dcterms:created xsi:type="dcterms:W3CDTF">2025-01-14T06:34:00Z</dcterms:created>
  <dcterms:modified xsi:type="dcterms:W3CDTF">2026-06-22T12:46:31Z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722647D56AC04072A0AA9DCE099B3A9B_13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